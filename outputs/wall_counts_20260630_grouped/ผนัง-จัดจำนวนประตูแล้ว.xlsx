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ce2254274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.ยาวผนัง" sheetId="1" r:id="R4c06f1fde187409d"/>
    <x:sheet xmlns:r="http://schemas.openxmlformats.org/officeDocument/2006/relationships" name="จนประตู" sheetId="2" r:id="R02aa31112a754ccf"/>
    <x:sheet xmlns:r="http://schemas.openxmlformats.org/officeDocument/2006/relationships" name="สรุปบานประตู" sheetId="3" r:id="R8252fd9384e54ee2"/>
  </x:sheets>
</x:workbook>
</file>

<file path=xl/sharedStrings.xml><?xml version="1.0" encoding="utf-8"?>
<x:sst xmlns:x="http://schemas.openxmlformats.org/spreadsheetml/2006/main">
  <x:si>
    <x:t xml:space="preserve">B2</x:t>
  </x:si>
  <x:si>
    <x:t xml:space="preserve">B1</x:t>
  </x:si>
  <x:si>
    <x:t xml:space="preserve">G</x:t>
  </x:si>
  <x:si>
    <x:t xml:space="preserve">ชั้น1</x:t>
  </x:si>
  <x:si>
    <x:t xml:space="preserve">ชั้น1A</x:t>
  </x:si>
  <x:si>
    <x:t xml:space="preserve">ชั้น2</x:t>
  </x:si>
  <x:si>
    <x:t xml:space="preserve">ชั้น2A</x:t>
  </x:si>
  <x:si>
    <x:t xml:space="preserve">ชั้น2B</x:t>
  </x:si>
  <x:si>
    <x:t xml:space="preserve">ชั้น3</x:t>
  </x:si>
  <x:si>
    <x:t xml:space="preserve">ชั้น3A</x:t>
  </x:si>
  <x:si>
    <x:t xml:space="preserve">1C</x:t>
  </x:si>
  <x:si>
    <x:t xml:space="preserve">ชั้น4</x:t>
  </x:si>
  <x:si>
    <x:t xml:space="preserve">ชั้น4A</x:t>
  </x:si>
  <x:si>
    <x:t xml:space="preserve">ชั้น5</x:t>
  </x:si>
  <x:si>
    <x:t xml:space="preserve">ชั้น6</x:t>
  </x:si>
  <x:si>
    <x:t xml:space="preserve">ชั้น6A</x:t>
  </x:si>
  <x:si>
    <x:t xml:space="preserve">ชั้น7</x:t>
  </x:si>
  <x:si>
    <x:t xml:space="preserve">4เหลี่ยม</x:t>
  </x:si>
  <x:si>
    <x:t xml:space="preserve">ชั้น8</x:t>
  </x:si>
  <x:si>
    <x:t xml:space="preserve">ขอบ</x:t>
  </x:si>
  <x:si>
    <x:t xml:space="preserve">กลาง</x:t>
  </x:si>
  <x:si>
    <x:t xml:space="preserve">ขวา</x:t>
  </x:si>
  <x:si>
    <x:t xml:space="preserve">ชั้น9-13.</x:t>
  </x:si>
  <x:si>
    <x:t xml:space="preserve">ชั้น14</x:t>
  </x:si>
  <x:si>
    <x:t xml:space="preserve">ชั้น15-18</x:t>
  </x:si>
  <x:si>
    <x:t xml:space="preserve">ชั้น19-22</x:t>
  </x:si>
  <x:si>
    <x:t xml:space="preserve">ชั้น23</x:t>
  </x:si>
  <x:si>
    <x:t xml:space="preserve">ชั้น24</x:t>
  </x:si>
  <x:si>
    <x:t xml:space="preserve">ชั้น25</x:t>
  </x:si>
  <x:si>
    <x:t xml:space="preserve">ชั้น26</x:t>
  </x:si>
  <x:si>
    <x:t xml:space="preserve">ชั้น27</x:t>
  </x:si>
  <x:si>
    <x:t xml:space="preserve">ชั้น28</x:t>
  </x:si>
  <x:si>
    <x:t xml:space="preserve">ชั้น29</x:t>
  </x:si>
  <x:si>
    <x:t xml:space="preserve">ชั้นดาดฟ้า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</x:si>
</x:sst>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Tahoma"/>
    </x:font>
    <x:font>
      <x:sz val="8"/>
      <x:name val="Tahoma"/>
    </x:font>
    <x:font>
      <x:sz val="11"/>
      <x:color theme="0"/>
      <x:name val="Tahoma"/>
    </x:font>
    <x:font>
      <x:b/>
      <x:sz val="11"/>
      <x:color rgb="FFFFFFFF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79998"/>
      </x:patternFill>
    </x:fill>
    <x:fill>
      <x:patternFill patternType="solid">
        <x:fgColor rgb="FF1F4E78"/>
      </x:patternFill>
    </x:fill>
    <x:fill>
      <x:patternFill patternType="solid">
        <x:fgColor rgb="FF4F81BD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0" xfId="0" applyFont="1"/>
    <x:xf numFmtId="0" fontId="0" fillId="2" borderId="0" xfId="0" applyFill="1"/>
    <x:xf numFmtId="0" fontId="0" fillId="0" borderId="1" xfId="0" applyBorder="1"/>
    <x:xf numFmtId="0" fontId="0" fillId="0" borderId="1" xfId="0" applyFill="1" applyBorder="1"/>
    <x:xf numFmtId="0" fontId="0" fillId="0" borderId="0" xfId="0" applyFill="1"/>
    <x:xf numFmtId="0" fontId="0" fillId="3" borderId="1" xfId="0" applyFill="1" applyBorder="1"/>
    <x:xf numFmtId="0" fontId="0" fillId="0" borderId="3" xfId="0" applyBorder="1"/>
    <x:xf numFmtId="0" fontId="0" fillId="0" borderId="2" xfId="0" applyFill="1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3" xfId="0" applyFill="1" applyBorder="1"/>
    <x:xf numFmtId="0" fontId="0" fillId="0" borderId="6" xfId="0" applyFill="1" applyBorder="1"/>
    <x:xf numFmtId="0" fontId="0" fillId="0" borderId="7" xfId="0" applyBorder="1"/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left"/>
    </x:xf>
    <x:xf numFmtId="200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ff615a78b48dd" /><Relationship Type="http://schemas.openxmlformats.org/officeDocument/2006/relationships/theme" Target="/xl/theme/theme1.xml" Id="R63b15e0666e34d9c" /><Relationship Type="http://schemas.openxmlformats.org/officeDocument/2006/relationships/sharedStrings" Target="/xl/sharedStrings.xml" Id="R78530401074440f6" /><Relationship Type="http://schemas.openxmlformats.org/officeDocument/2006/relationships/worksheet" Target="/xl/worksheets/sheet1.xml" Id="R4c06f1fde187409d" /><Relationship Type="http://schemas.openxmlformats.org/officeDocument/2006/relationships/worksheet" Target="/xl/worksheets/sheet2.xml" Id="R02aa31112a754ccf" /><Relationship Type="http://schemas.openxmlformats.org/officeDocument/2006/relationships/worksheet" Target="/xl/worksheets/sheet3.xml" Id="R8252fd9384e54ee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sheetData>
    <x:row r="1">
      <x:c r="A1" t="s">
        <x:v>0</x:v>
      </x:c>
    </x:row>
    <x:row r="2">
      <x:c r="A2">
        <x:v>3</x:v>
      </x:c>
      <x:c r="B2" t="n">
        <x:f>(69.85+33.06+5.33+34.21+3.83+1.14)+(17.65+6.57+2.69+0.78+16.28+9.31+1.41+0.9+1.23+0.59+2.59+28.15+24.66+24.63+27.93+0.61+0.96+1.52+1.74+4.61+1.57+13.12+5.35+10.64+23.21+1.79)</x:f>
        <x:v>377.9100000000001</x:v>
      </x:c>
    </x:row>
    <x:row r="3">
      <x:c r="A3">
        <x:v>1</x:v>
      </x:c>
      <x:c r="B3" t="n">
        <x:f>5.85+0.58+4.27+0.39+4.27+1.02+2.02+1.6+2.59+0.2+2.12+2.55+2.06+5.05+2.41+8.41+0.5+8.41+4.23+1.47+0.74+5.02+0.6+0.52+0.3</x:f>
        <x:v>67.17999999999999</x:v>
      </x:c>
    </x:row>
    <x:row r="4">
      <x:c r="A4">
        <x:v>2</x:v>
      </x:c>
      <x:c r="B4" t="n">
        <x:f>2.79+5.77+13.02</x:f>
        <x:v>21.58</x:v>
      </x:c>
    </x:row>
    <x:row r="6">
      <x:c r="A6" t="s">
        <x:v>1</x:v>
      </x:c>
    </x:row>
    <x:row r="7">
      <x:c r="A7">
        <x:v>2</x:v>
      </x:c>
      <x:c r="B7" t="n">
        <x:f>137.74+3.85+7.13+1+2.56+4.62+7.47+1.25+5.68+4.13</x:f>
        <x:v>175.43</x:v>
      </x:c>
    </x:row>
    <x:row r="8">
      <x:c r="A8">
        <x:v>1</x:v>
      </x:c>
      <x:c r="B8" t="n">
        <x:f>5.84+2.31+1.1+3.75+1.65+3.38+8.46+3.51+3.48+9.45+1.11+1.22+7.6+12.82+0.55+3.68+0.83+0.43+0.47+4.48+0.55+1.36+4.36+0.61+1.6+4.4+1.19+3.5+10.25+0.43+1.78+3.06+4.31+0.28+0.16+0.35+8.39+12+0.44+0.22+0.19+5.37+3.72</x:f>
        <x:v>144.64</x:v>
      </x:c>
    </x:row>
    <x:row r="9">
      <x:c r="A9">
        <x:v>3</x:v>
      </x:c>
      <x:c r="B9" t="n">
        <x:f>5.45+0.33+0.31+2.58+6.15+2.83+3.49+0.69+0.3+23.32</x:f>
        <x:v>45.45</x:v>
      </x:c>
    </x:row>
    <x:row r="11">
      <x:c r="A11" t="s">
        <x:v>2</x:v>
      </x:c>
    </x:row>
    <x:row r="12">
      <x:c r="A12">
        <x:v>2</x:v>
      </x:c>
      <x:c r="B12" t="n">
        <x:f>2.56+4.6+3.5+15.8+0.63+20.51+0.27+11.83+11.21+0.32+3.87+4.8+2.41</x:f>
        <x:v>82.30999999999999</x:v>
      </x:c>
    </x:row>
    <x:row r="13">
      <x:c r="A13">
        <x:v>1</x:v>
      </x:c>
      <x:c r="B13" t="n">
        <x:f>2.26+2.38+3.37+3+12.56+6.23314+4.36+1.03+6.99+8.19+6.07+0.79+3.86+0.59+4.79+7.34+1.97+2.7+2.6+2.05+0.99+2.48+4.15+0.77+3.25+10.51+8.19+0.49+0.49+0.49+6.27+4.86+4.3+2.18+1.45+20.52+38.86+11+0.91</x:f>
        <x:v>205.29313999999997</x:v>
      </x:c>
    </x:row>
    <x:row r="14">
      <x:c r="A14">
        <x:v>3</x:v>
      </x:c>
      <x:c r="B14" t="n">
        <x:f>3.29+0.4+7.47+8.65+0.31+1.59+0.31+1.59+0.31+0.59+8.49+5.31+8.69</x:f>
        <x:v>47</x:v>
      </x:c>
    </x:row>
    <x:row r="16">
      <x:c r="A16" t="s">
        <x:v>3</x:v>
      </x:c>
    </x:row>
    <x:row r="17">
      <x:c r="A17">
        <x:v>1</x:v>
      </x:c>
      <x:c r="B17" t="n">
        <x:f>68.11+52.75+2.25+2.1+0.53+4.68+5.77+0.53+0.53+4.39+4.89+1.5+15.18+1.2+1.25+1.2+1.2+1.2</x:f>
        <x:v>169.25999999999993</x:v>
      </x:c>
    </x:row>
    <x:row r="18">
      <x:c r="A18">
        <x:v>2</x:v>
      </x:c>
      <x:c r="B18" t="n">
        <x:f>3.5+4.89+2.59+0.91+17.21+33.99+5.77+10.03+3.09+0.46</x:f>
        <x:v>82.44</x:v>
      </x:c>
    </x:row>
    <x:row r="19">
      <x:c r="A19">
        <x:v>3</x:v>
      </x:c>
      <x:c r="B19" t="n">
        <x:f>21.71+25.29</x:f>
        <x:v>47</x:v>
      </x:c>
    </x:row>
    <x:row r="20">
      <x:c r="A20">
        <x:v>5</x:v>
      </x:c>
      <x:c r="B20">
        <x:v>23.22</x:v>
      </x:c>
    </x:row>
    <x:row r="22">
      <x:c r="A22" t="s">
        <x:v>4</x:v>
      </x:c>
    </x:row>
    <x:row r="23">
      <x:c r="A23">
        <x:v>1</x:v>
      </x:c>
      <x:c r="B23" t="n">
        <x:f>68.11+52.75+2.25+2.1+0.53+4.68+5.77+0.53+0.53+4.39+4.89+1.5+15.18+1.2+1.25+1.2+1.2+1.2-2.26+1.14</x:f>
        <x:v>168.13999999999993</x:v>
      </x:c>
    </x:row>
    <x:row r="24">
      <x:c r="A24">
        <x:v>2</x:v>
      </x:c>
      <x:c r="B24" t="n">
        <x:f>3.5+4.89+2.59+0.91+33.99+5.77+12.95+3.09</x:f>
        <x:v>67.69000000000001</x:v>
      </x:c>
    </x:row>
    <x:row r="25">
      <x:c r="A25">
        <x:v>3</x:v>
      </x:c>
      <x:c r="B25" t="n">
        <x:f>21.71+25.29</x:f>
        <x:v>47</x:v>
      </x:c>
    </x:row>
    <x:row r="26">
      <x:c r="A26">
        <x:v>5</x:v>
      </x:c>
      <x:c r="B26">
        <x:v>23.22</x:v>
      </x:c>
    </x:row>
    <x:row r="28">
      <x:c r="A28" t="s">
        <x:v>5</x:v>
      </x:c>
    </x:row>
    <x:row r="29">
      <x:c r="A29">
        <x:v>1</x:v>
      </x:c>
      <x:c r="B29" t="n">
        <x:f>1.89+6.44+68.11+52.75+2.25+2.1+0.53+4.68+5.77+0.53+0.53+4.39+4.89+1.5+15.18+1.2+1.25+1.2+1.2+1.2-2.26+1.14</x:f>
        <x:v>176.46999999999994</x:v>
      </x:c>
    </x:row>
    <x:row r="30">
      <x:c r="A30">
        <x:v>2</x:v>
      </x:c>
      <x:c r="B30" t="n">
        <x:f>3.5+4.89+2.59+0.91+33.99+5.77+10.82+0.45+3.09</x:f>
        <x:v>66.01</x:v>
      </x:c>
    </x:row>
    <x:row r="31">
      <x:c r="A31">
        <x:v>3</x:v>
      </x:c>
      <x:c r="B31" t="n">
        <x:f>21.71+25.29</x:f>
        <x:v>47</x:v>
      </x:c>
    </x:row>
    <x:row r="32">
      <x:c r="A32">
        <x:v>5</x:v>
      </x:c>
      <x:c r="B32">
        <x:v>23.22</x:v>
      </x:c>
    </x:row>
    <x:row r="34">
      <x:c r="A34" t="s">
        <x:v>6</x:v>
      </x:c>
    </x:row>
    <x:row r="35">
      <x:c r="A35">
        <x:v>1</x:v>
      </x:c>
      <x:c r="B35">
        <x:v>137.4</x:v>
      </x:c>
    </x:row>
    <x:row r="36">
      <x:c r="A36">
        <x:v>2</x:v>
      </x:c>
      <x:c r="B36" t="n">
        <x:f>33.99+(6.19+2.26+5.5+8.75)+1.21+2.46+4.84+3.53+3.57+6.61+4.77+1.96+6.7</x:f>
        <x:v>92.33999999999999</x:v>
      </x:c>
    </x:row>
    <x:row r="37">
      <x:c r="A37">
        <x:v>3</x:v>
      </x:c>
      <x:c r="B37" t="n">
        <x:f>21.71+25.29</x:f>
        <x:v>47</x:v>
      </x:c>
    </x:row>
    <x:row r="38">
      <x:c r="A38">
        <x:v>5</x:v>
      </x:c>
      <x:c r="B38">
        <x:v>14.83</x:v>
      </x:c>
    </x:row>
    <x:row r="40">
      <x:c r="A40" t="s">
        <x:v>7</x:v>
      </x:c>
    </x:row>
    <x:row r="41">
      <x:c r="A41">
        <x:v>1</x:v>
      </x:c>
      <x:c r="B41" t="n">
        <x:f>0.41+11.25+15.23+5.29+1.89+1.99+0.47+4.37+0.5+0.5+1.99+1.02+1.23+1.32+1.27+1.29+1.24+108.68</x:f>
        <x:v>159.94</x:v>
      </x:c>
    </x:row>
    <x:row r="42">
      <x:c r="A42">
        <x:v>2</x:v>
      </x:c>
      <x:c r="B42" t="n">
        <x:f>1.24+2.48+4.9+3.48+4.23+4.72+10.78+39.19+0.42</x:f>
        <x:v>71.44</x:v>
      </x:c>
    </x:row>
    <x:row r="43">
      <x:c r="A43">
        <x:v>3</x:v>
      </x:c>
      <x:c r="B43">
        <x:v>47</x:v>
      </x:c>
    </x:row>
    <x:row r="45">
      <x:c r="A45" t="s">
        <x:v>8</x:v>
      </x:c>
    </x:row>
    <x:row r="46">
      <x:c r="A46">
        <x:v>1</x:v>
      </x:c>
      <x:c r="B46">
        <x:v>159.94</x:v>
      </x:c>
    </x:row>
    <x:row r="47">
      <x:c r="A47">
        <x:v>2</x:v>
      </x:c>
      <x:c r="B47" t="n">
        <x:f>1.24+2.48+4.9+3.69+4.23+4.72+10.78+39.19+0.42-2.15-2.15</x:f>
        <x:v>67.34999999999998</x:v>
      </x:c>
    </x:row>
    <x:row r="48">
      <x:c r="A48">
        <x:v>3</x:v>
      </x:c>
      <x:c r="B48">
        <x:v>47</x:v>
      </x:c>
    </x:row>
    <x:row r="50">
      <x:c r="A50" t="s">
        <x:v>9</x:v>
      </x:c>
    </x:row>
    <x:row r="51">
      <x:c r="A51">
        <x:v>1</x:v>
      </x:c>
      <x:c r="B51">
        <x:v>159.94</x:v>
      </x:c>
    </x:row>
    <x:row r="52">
      <x:c r="A52">
        <x:v>2</x:v>
      </x:c>
      <x:c r="B52" t="n">
        <x:f>1.24+2.48+4.9+4.23+4.72+10.78+39.19+0.42-2.15-2.15</x:f>
        <x:v>63.65999999999999</x:v>
      </x:c>
    </x:row>
    <x:row r="53">
      <x:c r="A53">
        <x:v>3</x:v>
      </x:c>
      <x:c r="B53">
        <x:v>47</x:v>
      </x:c>
    </x:row>
    <x:row r="54">
      <x:c r="A54" t="s">
        <x:v>10</x:v>
      </x:c>
      <x:c r="B54">
        <x:v>3.67</x:v>
      </x:c>
    </x:row>
    <x:row r="56">
      <x:c r="A56" t="s">
        <x:v>11</x:v>
      </x:c>
    </x:row>
    <x:row r="57">
      <x:c r="A57">
        <x:v>1</x:v>
      </x:c>
      <x:c r="B57">
        <x:v>159.94</x:v>
      </x:c>
    </x:row>
    <x:row r="58">
      <x:c r="A58">
        <x:v>2</x:v>
      </x:c>
      <x:c r="B58" t="n">
        <x:f>1.24+2.48+4.9+3.69+4.23+4.72+10.78+39.19+0.42-2.15-2.15</x:f>
        <x:v>67.34999999999998</x:v>
      </x:c>
    </x:row>
    <x:row r="59">
      <x:c r="A59">
        <x:v>3</x:v>
      </x:c>
      <x:c r="B59">
        <x:v>47</x:v>
      </x:c>
    </x:row>
    <x:row r="61">
      <x:c r="A61" t="s">
        <x:v>12</x:v>
      </x:c>
    </x:row>
    <x:row r="62">
      <x:c r="A62">
        <x:v>1</x:v>
      </x:c>
      <x:c r="B62">
        <x:v>159.94</x:v>
      </x:c>
    </x:row>
    <x:row r="63">
      <x:c r="A63">
        <x:v>2</x:v>
      </x:c>
      <x:c r="B63" t="n">
        <x:f>1.24+2.48+4.9+4.23+4.72+10.78+39.19+0.42-2.15-2.15+1.89</x:f>
        <x:v>65.54999999999998</x:v>
      </x:c>
    </x:row>
    <x:row r="64">
      <x:c r="A64">
        <x:v>3</x:v>
      </x:c>
      <x:c r="B64">
        <x:v>47</x:v>
      </x:c>
    </x:row>
    <x:row r="65">
      <x:c r="A65" t="s">
        <x:v>10</x:v>
      </x:c>
      <x:c r="B65">
        <x:v>3.67</x:v>
      </x:c>
    </x:row>
    <x:row r="67">
      <x:c r="A67" t="s">
        <x:v>13</x:v>
      </x:c>
    </x:row>
    <x:row r="68">
      <x:c r="A68">
        <x:v>1</x:v>
      </x:c>
      <x:c r="B68" t="n">
        <x:f>0.51+0.56+0.56+0.55+3.03+2.21+2+0.81+7.76+1.22+1.2+1.19+1.23+100.94+9.32</x:f>
        <x:v>133.09</x:v>
      </x:c>
    </x:row>
    <x:row r="69">
      <x:c r="A69">
        <x:v>2</x:v>
      </x:c>
      <x:c r="B69" t="n">
        <x:f>31.44+5.05+1.18+2.48+4.92+3.54+8.64+6.89+6.43+4.6</x:f>
        <x:v>75.16999999999999</x:v>
      </x:c>
    </x:row>
    <x:row r="70">
      <x:c r="A70">
        <x:v>3</x:v>
      </x:c>
      <x:c r="B70">
        <x:v>47</x:v>
      </x:c>
    </x:row>
    <x:row r="71">
      <x:c r="A71" t="s">
        <x:v>10</x:v>
      </x:c>
      <x:c r="B71">
        <x:v>3.67</x:v>
      </x:c>
    </x:row>
    <x:row r="73">
      <x:c r="A73" t="s">
        <x:v>14</x:v>
      </x:c>
    </x:row>
    <x:row r="74">
      <x:c r="A74">
        <x:v>1</x:v>
      </x:c>
      <x:c r="B74" t="n">
        <x:f>10.3+1.15+2.13+0.17+3.6+3.08+0.38+0.5+3.99+0.95+1.17+0.64+1.5+2.09+2.1+1.21+2.22+2.07+2.82+1.02+4.94+5.03+3.44+0.73+0.49+4.43+0.49+3.49+0.62+3+0.67+7.29+1.31+0.93+1.3+2.4</x:f>
        <x:v>83.65000000000002</x:v>
      </x:c>
    </x:row>
    <x:row r="75">
      <x:c r="A75">
        <x:v>2</x:v>
      </x:c>
      <x:c r="B75" t="n">
        <x:f>4.59+3.43+1.52+4.88+2.57+2.57+2.63+2.56+2.72+4.39+4.88+6.82+10.5+7.01+8.74+7.77+1+2.48+4.81+1.89+4.67</x:f>
        <x:v>92.42999999999999</x:v>
      </x:c>
    </x:row>
    <x:row r="76">
      <x:c r="A76">
        <x:v>3</x:v>
      </x:c>
      <x:c r="B76" t="n">
        <x:f>3.26+0.3+0.3+2.34+5.38+0.3+0.3+2.44+2.44+0.3+1.75+0.3+0.3+1.75+0.3+1.75+5.33+0.3+6.7+0.3+6.7</x:f>
        <x:v>42.84</x:v>
      </x:c>
    </x:row>
    <x:row r="78">
      <x:c r="A78" t="s">
        <x:v>15</x:v>
      </x:c>
    </x:row>
    <x:row r="79">
      <x:c r="A79">
        <x:v>1</x:v>
      </x:c>
      <x:c r="B79" t="n">
        <x:f>0.83+1.1+11.52+0.26+1.55+7.04+1.14+0.41+2.22+10.89+3.33+2.56+3.51+2.67+1.52+6.41+2.53+2.02+3.59+0.55+0.55+3.45+1.57+0.6+0.15+0.51+3.66+6.55+1.77+1.89+3.63+1.22+1.18+1.24+1.68+0.3+5+6.89+5.7+5.93+3.29+11.61+0.49+0.89+1.38+4.38+0.55+0.55+0.55+4.43+3.49+0.57+0.82+0.85+3.04+3.97+7.89</x:f>
        <x:v>167.87</x:v>
      </x:c>
    </x:row>
    <x:row r="80">
      <x:c r="A80">
        <x:v>2</x:v>
      </x:c>
      <x:c r="B80" t="n">
        <x:f>13.12+12.87+3.38+7.04+6.96+9.51+13.16+1.5+1.13+2.57+4.79+0.4+17.04+1.47+3.5</x:f>
        <x:v>98.44</x:v>
      </x:c>
    </x:row>
    <x:row r="81">
      <x:c r="A81">
        <x:v>3</x:v>
      </x:c>
      <x:c r="B81">
        <x:v>47</x:v>
      </x:c>
    </x:row>
    <x:row r="83">
      <x:c r="A83" t="s">
        <x:v>16</x:v>
      </x:c>
    </x:row>
    <x:row r="84">
      <x:c r="A84" t="s">
        <x:v>17</x:v>
      </x:c>
      <x:c r="B84" t="n">
        <x:f>7.56+11.74+48.25+7.02+7.03+7.05+6.19</x:f>
        <x:v>94.83999999999999</x:v>
      </x:c>
    </x:row>
    <x:row r="85">
      <x:c r="A85">
        <x:v>1</x:v>
      </x:c>
      <x:c r="B85" t="n">
        <x:f>0.27+0.49+6.73+3.46+0.59+0.95+15.89+17.9+26.16+13.04+1.56+2.05+5.6+5.07+1.74+2.08+2.75+2.53+2.39+2.39+2.65+4.01+6.77+14.59+0.75+2.84+0.13+2.18+12.7+3.09+0.61+0.47+3.76+2.15+4.46+0.28+0.69+3.16+0.65+1.95+2.98+1.23+0.57+4.24+0.05+7.48+1.38+1.06+0.49+2.3</x:f>
        <x:v>203.31</x:v>
      </x:c>
    </x:row>
    <x:row r="86">
      <x:c r="A86">
        <x:v>2</x:v>
      </x:c>
      <x:c r="B86" t="n">
        <x:f>12.56+5.15+5.03+6.72+12.93+16.9+1.63+14.07+0.55+6.97+1.88+1.66+1.93+2.06+0.56+0.32+16.72+9.91+0.53</x:f>
        <x:v>118.08</x:v>
      </x:c>
    </x:row>
    <x:row r="87">
      <x:c r="A87">
        <x:v>3</x:v>
      </x:c>
      <x:c r="B87" t="n">
        <x:f>17.98+20.33+5.35+0.3+0.3+1.54</x:f>
        <x:v>45.8</x:v>
      </x:c>
    </x:row>
    <x:row r="89">
      <x:c r="A89" t="s">
        <x:v>18</x:v>
      </x:c>
    </x:row>
    <x:row r="90">
      <x:c r="A90">
        <x:v>1</x:v>
      </x:c>
      <x:c r="B90" t="n">
        <x:f>(1.49+1.47+2.05+1.3+1.77+3.06+0.31+1.48+3.23+0.18+2.1)+(0.55+0.22+0.83+0.67+0.07+1.87+0.07+1.59+0.67+2.44)+(4*(0.65+0.65+0.75))+(4*(1.59+6.88+2.03+1.85+0.24+1.85+0.67+0.69+0.17+1.43))+E90+E91+E92</x:f>
        <x:v>195.36</x:v>
      </x:c>
      <x:c r="D90" s="1" t="s">
        <x:v>19</x:v>
      </x:c>
      <x:c r="E90" s="1" t="n">
        <x:f>1.3+1.85+3.65+1.5+0.15+0.25+2.64+3.2+5.63+1.43+(1.47+1.03+0.55+2.89+0.54+3.34+2.41+0.7+4.29+1.48+0.52+1.13+0.13+1.69+0.59+3.93+2.47+1.85+0.31+1.59+0.63)</x:f>
        <x:v>55.14</x:v>
      </x:c>
    </x:row>
    <x:row r="91">
      <x:c r="A91">
        <x:v>2</x:v>
      </x:c>
      <x:c r="B91" t="n">
        <x:f>8.3+6.96+3.08+5.84+6.23+2.87+1.85+10.39</x:f>
        <x:v>45.52</x:v>
      </x:c>
      <x:c r="D91" s="1" t="s">
        <x:v>20</x:v>
      </x:c>
      <x:c r="E91" s="1" t="n">
        <x:f>0.82+4.75+0.54+0.49+1.85+1.13+1.74+2.01+3.23+2.38+0.13+1.1+0.37+4.45+0.69+0.67+0.47</x:f>
        <x:v>26.820000000000004</x:v>
      </x:c>
    </x:row>
    <x:row r="92">
      <x:c r="A92">
        <x:v>3</x:v>
      </x:c>
      <x:c r="B92" t="n">
        <x:f>1.57+0.35+14.53+1.57+1.57+0.3+0.3+8.56+5.34+8.65</x:f>
        <x:v>42.74</x:v>
      </x:c>
      <x:c r="D92" s="1" t="s">
        <x:v>21</x:v>
      </x:c>
      <x:c r="E92" s="1" t="n">
        <x:f>0.43+4.09+1.25+2.41</x:f>
        <x:v>8.18</x:v>
      </x:c>
    </x:row>
    <x:row r="93">
      <x:c r="A93">
        <x:v>4</x:v>
      </x:c>
      <x:c r="B93" t="n">
        <x:f>3.76+3.88+7.82+8.47+7.79+1.79+1.85+3.63+3.91+1.81+7.8+8.51+1.77+7.84+8.52+7.82+1.44+3.39+0.57+5.21+2.73+2.56+3.71+1.37+0.89</x:f>
        <x:v>108.83999999999999</x:v>
      </x:c>
      <x:c r="D93" s="1"/>
      <x:c r="E93" s="1"/>
    </x:row>
    <x:row r="94">
      <x:c r="A94" t="s">
        <x:v>10</x:v>
      </x:c>
      <x:c r="B94" t="n">
        <x:f>0.96+1.5+1.64+1.63+1.53+1.49+1.49+1.45+1.48+1.54+1.49+1.03+1.07+1.25+1.21+6.1+3.86+1.24+1.42+1.54+1.52+10.08+1.14+1.22+1.21+1.2+1.28+2.45</x:f>
        <x:v>55.02</x:v>
      </x:c>
      <x:c r="D94" s="1"/>
      <x:c r="E94" s="1"/>
    </x:row>
    <x:row r="95">
      <x:c r="D95" s="1"/>
      <x:c r="E95" s="1"/>
    </x:row>
    <x:row r="96">
      <x:c r="A96" t="s">
        <x:v>22</x:v>
      </x:c>
      <x:c r="D96" s="1"/>
      <x:c r="E96" s="1"/>
    </x:row>
    <x:row r="97">
      <x:c r="A97">
        <x:v>1</x:v>
      </x:c>
      <x:c r="B97">
        <x:v>195.36</x:v>
      </x:c>
      <x:c r="D97" s="1"/>
      <x:c r="E97" s="1"/>
    </x:row>
    <x:row r="98">
      <x:c r="A98">
        <x:v>2</x:v>
      </x:c>
      <x:c r="B98">
        <x:v>45.52</x:v>
      </x:c>
      <x:c r="D98" s="1"/>
      <x:c r="E98" s="1"/>
    </x:row>
    <x:row r="99">
      <x:c r="A99">
        <x:v>3</x:v>
      </x:c>
      <x:c r="B99">
        <x:v>42.74</x:v>
      </x:c>
      <x:c r="D99" s="1"/>
      <x:c r="E99" s="1"/>
    </x:row>
    <x:row r="100">
      <x:c r="A100">
        <x:v>4</x:v>
      </x:c>
      <x:c r="B100" t="n">
        <x:f>8.53+7.82+8.47+7.79+1.79+1.85+3.63+3.91+1.81+7.8+8.51+1.77+7.84+8.52+7.82+1.44+3.39+0.57+5.21+2.73+2.56+3.71+1.37+0.89</x:f>
        <x:v>109.73</x:v>
      </x:c>
      <x:c r="D100" s="1"/>
      <x:c r="E100" s="1"/>
    </x:row>
    <x:row r="101">
      <x:c r="A101" t="s">
        <x:v>10</x:v>
      </x:c>
      <x:c r="B101">
        <x:v>55.02</x:v>
      </x:c>
      <x:c r="D101" s="1"/>
      <x:c r="E101" s="1"/>
    </x:row>
    <x:row r="102">
      <x:c r="D102" s="1"/>
      <x:c r="E102" s="1"/>
    </x:row>
    <x:row r="103">
      <x:c r="A103" t="s">
        <x:v>23</x:v>
      </x:c>
      <x:c r="D103" s="1"/>
      <x:c r="E103" s="1"/>
    </x:row>
    <x:row r="104">
      <x:c r="A104">
        <x:v>1</x:v>
      </x:c>
      <x:c r="B104">
        <x:v>195.36</x:v>
      </x:c>
      <x:c r="D104" s="1"/>
      <x:c r="E104" s="1"/>
    </x:row>
    <x:row r="105">
      <x:c r="A105">
        <x:v>2</x:v>
      </x:c>
      <x:c r="B105">
        <x:v>45.52</x:v>
      </x:c>
      <x:c r="D105" s="1"/>
      <x:c r="E105" s="1"/>
    </x:row>
    <x:row r="106">
      <x:c r="A106">
        <x:v>3</x:v>
      </x:c>
      <x:c r="B106">
        <x:v>42.74</x:v>
      </x:c>
      <x:c r="D106" s="1"/>
      <x:c r="E106" s="1"/>
    </x:row>
    <x:row r="107">
      <x:c r="A107">
        <x:v>4</x:v>
      </x:c>
      <x:c r="B107" t="n">
        <x:f>8.53+7.82+8.47+7.79+1.79+1.85+3.63+3.91+1.81+7.8+8.51+1.77+7.84+8.52+7.82+1.44+3.39+0.57+5.21+2.73+2.56+1.34+1.39+1.37+0.89</x:f>
        <x:v>108.75000000000001</x:v>
      </x:c>
      <x:c r="D107" s="1"/>
      <x:c r="E107" s="1"/>
    </x:row>
    <x:row r="108">
      <x:c r="A108" t="s">
        <x:v>10</x:v>
      </x:c>
      <x:c r="B108">
        <x:v>55.02</x:v>
      </x:c>
      <x:c r="D108" s="1"/>
      <x:c r="E108" s="1"/>
    </x:row>
    <x:row r="109">
      <x:c r="D109" s="1"/>
      <x:c r="E109" s="1"/>
    </x:row>
    <x:row r="110">
      <x:c r="A110" t="s">
        <x:v>24</x:v>
      </x:c>
      <x:c r="D110" s="1"/>
      <x:c r="E110" s="1"/>
    </x:row>
    <x:row r="111">
      <x:c r="A111">
        <x:v>1</x:v>
      </x:c>
      <x:c r="B111">
        <x:v>195.36</x:v>
      </x:c>
      <x:c r="D111" s="1"/>
      <x:c r="E111" s="1"/>
    </x:row>
    <x:row r="112">
      <x:c r="A112">
        <x:v>2</x:v>
      </x:c>
      <x:c r="B112">
        <x:v>45.52</x:v>
      </x:c>
      <x:c r="D112" s="1"/>
      <x:c r="E112" s="1"/>
    </x:row>
    <x:row r="113">
      <x:c r="A113">
        <x:v>3</x:v>
      </x:c>
      <x:c r="B113">
        <x:v>42.74</x:v>
      </x:c>
      <x:c r="D113" s="1"/>
      <x:c r="E113" s="1"/>
    </x:row>
    <x:row r="114">
      <x:c r="A114">
        <x:v>4</x:v>
      </x:c>
      <x:c r="B114" t="n">
        <x:f>8.53+7.82+8.47+7.79+1.79+1.85+3.63+3.91+1.81+7.8+8.51+1.77+7.84+8.52+7.82+1.44+3.39+0.57+5.21+2.79+2.56+2.79+1.37+0.89</x:f>
        <x:v>108.87000000000002</x:v>
      </x:c>
      <x:c r="D114" s="1"/>
      <x:c r="E114" s="1"/>
    </x:row>
    <x:row r="115">
      <x:c r="A115" t="s">
        <x:v>10</x:v>
      </x:c>
      <x:c r="B115">
        <x:v>55.02</x:v>
      </x:c>
      <x:c r="D115" s="1"/>
      <x:c r="E115" s="1"/>
    </x:row>
    <x:row r="116">
      <x:c r="D116" s="1"/>
      <x:c r="E116" s="1"/>
    </x:row>
    <x:row r="117">
      <x:c r="A117" t="s">
        <x:v>25</x:v>
      </x:c>
      <x:c r="D117" s="1"/>
      <x:c r="E117" s="1"/>
    </x:row>
    <x:row r="118">
      <x:c r="A118">
        <x:v>1</x:v>
      </x:c>
      <x:c r="B118" t="n">
        <x:f>(1.47+1.2+0.2+4.06+0.84)+0.21+0.69+4.53+2.46+2.52+1.42+0.2+(3*(1.6+1.4+0.25+9.69+0.13+1.62+0.21+1.45+0.64+0.64))+(8.81+1.67+1.75+0.68+4.3+2.47)+(4*(2.08))+1.52+E118+E119+E120</x:f>
        <x:v>192.35</x:v>
      </x:c>
      <x:c r="D118" s="1" t="s">
        <x:v>19</x:v>
      </x:c>
      <x:c r="E118" s="1" t="n">
        <x:f>1.3+1.85+3.65+1.5+0.15+0.25+2.64+3.2+5.63+1.43+(1.47+1.03+0.55+2.89+0.54+3.34+2.41+0.7+4.29+1.48+0.52+1.13+0.13+1.69+0.59+3.93+2.47+1.85+0.31+1.59+0.63)</x:f>
        <x:v>55.14</x:v>
      </x:c>
    </x:row>
    <x:row r="119">
      <x:c r="A119">
        <x:v>2</x:v>
      </x:c>
      <x:c r="B119" t="n">
        <x:f>8.3+6.96+3.08+5.84+6.23+2.87+1.85+10.39</x:f>
        <x:v>45.52</x:v>
      </x:c>
      <x:c r="D119" s="1" t="s">
        <x:v>20</x:v>
      </x:c>
      <x:c r="E119" s="1" t="n">
        <x:f>0.82+4.75+0.54+0.49+1.85+1.13+1.74+2.01+3.23+2.38+0.13+1.1+0.37+4.45+0.69+0.67+0.47</x:f>
        <x:v>26.820000000000004</x:v>
      </x:c>
    </x:row>
    <x:row r="120">
      <x:c r="A120">
        <x:v>3</x:v>
      </x:c>
      <x:c r="B120" t="n">
        <x:f>1.57+0.35+14.53+1.57+1.57+0.3+0.3+8.56+5.34+8.65</x:f>
        <x:v>42.74</x:v>
      </x:c>
      <x:c r="D120" s="1" t="s">
        <x:v>21</x:v>
      </x:c>
      <x:c r="E120" s="1" t="n">
        <x:f>0.43+4.09+1.25+2.41</x:f>
        <x:v>8.18</x:v>
      </x:c>
    </x:row>
    <x:row r="121">
      <x:c r="A121">
        <x:v>4</x:v>
      </x:c>
      <x:c r="B121" t="n">
        <x:f>0.87+3.74+2.66+2.71+1.37+5.32+0.59+3.49</x:f>
        <x:v>20.75</x:v>
      </x:c>
    </x:row>
    <x:row r="122">
      <x:c r="A122" t="s">
        <x:v>10</x:v>
      </x:c>
      <x:c r="B122" t="n">
        <x:f>0.98+1.5+1.65+1.66+1.5+1.5+1.5+1.5+1.5+1.5+1.5+1.09+5.76+2.86+4.08+3.51+7.82+8.53+8.53+1.96+7.81+7.81+1.76+9.47+6.04+0.58+1.27+3.43+1.84+0.87+1.33+1.23118+1.37+1.17+10.1+1.5+1.53+1.5+9.97+1.5+1.17+1.14+1.22</x:f>
        <x:v>136.04118</x:v>
      </x:c>
    </x:row>
    <x:row r="124">
      <x:c r="A124" t="s">
        <x:v>26</x:v>
      </x:c>
    </x:row>
    <x:row r="125">
      <x:c r="A125">
        <x:v>1</x:v>
      </x:c>
      <x:c r="B125" t="n">
        <x:f>1.47+2.15+2.15+2.15+2.15+1.62+3.66+1.17+0.17+0.15+7.41+0.62+0.19+0.11+3.47+1.47+9.65+0.17+0.23+9.65+0.17+0.23+1.31+1.82+3.61+1.44+2.06+4.12+0.23+1.78+1.39+0.45+5.39+2.39+1.96+1.11+0.81+1.9+4.95+0.54+0.55+0.69+1.65+1.63+0.09+1.65+0.73+4.51+1.68+10.36+2.24+0.21+0.98+1.16+0.72+0.74+0.85+0.4805+1.47+1.17+4.68+0.14+0.45+4.65</x:f>
        <x:v>130.95050000000003</x:v>
      </x:c>
    </x:row>
    <x:row r="126">
      <x:c r="A126">
        <x:v>2</x:v>
      </x:c>
      <x:c r="B126" t="n">
        <x:f>8.81+7.3+4.5+3+10.96+9.16</x:f>
        <x:v>43.730000000000004</x:v>
      </x:c>
    </x:row>
    <x:row r="127">
      <x:c r="A127">
        <x:v>3</x:v>
      </x:c>
      <x:c r="B127" t="n">
        <x:f>1.57+0.35+14.53+1.57+1.57+0.3+0.3+8.56+5.34+8.65</x:f>
        <x:v>42.74</x:v>
      </x:c>
    </x:row>
    <x:row r="128">
      <x:c r="A128">
        <x:v>4</x:v>
      </x:c>
      <x:c r="B128" t="n">
        <x:f>3.92+3.66+1.66+8.55+3.97+2.88+1.72+0.64+0.67+7.93+7.83+1.51+5.44+2.67+2.63+1.14+0.89374</x:f>
        <x:v>57.713739999999994</x:v>
      </x:c>
    </x:row>
    <x:row r="129">
      <x:c r="A129" t="s">
        <x:v>10</x:v>
      </x:c>
      <x:c r="B129" t="n">
        <x:f>10.03+10.05+1.12+1.17+1.2+1.19+1.52+1.53+1.51+1.17+1.14+1.17+1.19+1.25+0.97+1.08+1.49+1.52+1.5+1.51+1.5+1.5+1.5+1.5+1.5+1.5+(2*(3.84+6.63+1.44+0.93+3.05+1.31))+1.33</x:f>
        <x:v>88.03999999999999</x:v>
      </x:c>
    </x:row>
    <x:row r="131">
      <x:c r="A131" t="s">
        <x:v>27</x:v>
      </x:c>
    </x:row>
    <x:row r="132">
      <x:c r="A132">
        <x:v>1</x:v>
      </x:c>
      <x:c r="B132" t="n">
        <x:f>20.29+4.11+0.83+2.37+1.13+1.7+2.6+5.67+3.84+0.72+1.54+2.56+1.18+4.45+1.97+4.8+0.53+1.88+0.9+1.33+1.91+1.2+1.05+1.64+3.42+0.56+17.23+0.97+1.11+1.08+5.91+0.14+4.68+1.85+3.28+1.5+3.88+7.6+1.2+1.53+2.98+4.19+0.52+1.47+11.57+5.61+7.62</x:f>
        <x:v>160.1</x:v>
      </x:c>
    </x:row>
    <x:row r="133">
      <x:c r="A133">
        <x:v>2</x:v>
      </x:c>
      <x:c r="B133" t="n">
        <x:f>16.71+9.75+0.34+8.24+6.97+0.47</x:f>
        <x:v>42.48</x:v>
      </x:c>
    </x:row>
    <x:row r="134">
      <x:c r="A134">
        <x:v>3</x:v>
      </x:c>
      <x:c r="B134" t="n">
        <x:f>14.15+1.87+1.87+1.87+8.74+5.7+6.1+1.63+5.23</x:f>
        <x:v>47.16000000000001</x:v>
      </x:c>
    </x:row>
    <x:row r="135">
      <x:c r="A135" t="s">
        <x:v>10</x:v>
      </x:c>
      <x:c r="B135" t="n">
        <x:f>1.34+1.5+1.66+1.68+1.5+1.5+1.5+1.5+1.5+1.5+1.5+3.82+1.26+1.28+1.18+1.18+1.08+1.18+1.8+0.91+9.69+1.41+1.2+1.18+1.18+1.14+1.18</x:f>
        <x:v>47.35</x:v>
      </x:c>
    </x:row>
    <x:row r="137">
      <x:c r="A137" t="s">
        <x:v>28</x:v>
      </x:c>
    </x:row>
    <x:row r="138">
      <x:c r="A138">
        <x:v>1</x:v>
      </x:c>
      <x:c r="B138" t="n">
        <x:f>2.61+7.72+1.81+5.24+1.6+1.43+3.45+0.37+0.58+5.05+1.66+3.66+1.43+3.9+4.19+6.56+4.16+6.5+4.45+1.36+3.69+13.58+3.51+5.82+3.89+1.83+5.48+0.38+8.5+6.66+0.85+0.85+3.85+0.38+0.38+1+0.67+0.5+2.36+2.38+0.14+3.22+8.74+0.7+2.63+1.52+11.78+13.05+5.59+1.53+1.7+3.07+1.72+3.69+2.38+0.35+0.3+0.21+0.37+5.03+1.43+0.37+1.43+1.43+1.43+0.4</x:f>
        <x:v>208.50000000000003</x:v>
      </x:c>
    </x:row>
    <x:row r="139">
      <x:c r="A139">
        <x:v>2</x:v>
      </x:c>
      <x:c r="B139" t="n">
        <x:f>2+1.85+0.43+0.26+0.38+3.06+4.71+4.46+3.64+8.63+3.74+12.29+1.18</x:f>
        <x:v>46.63</x:v>
      </x:c>
    </x:row>
    <x:row r="140">
      <x:c r="A140">
        <x:v>3</x:v>
      </x:c>
      <x:c r="B140" t="n">
        <x:f>14.15+1.87+1.87+1.87+8.74+5.7+6.1+1.63+5.23</x:f>
        <x:v>47.16000000000001</x:v>
      </x:c>
    </x:row>
    <x:row r="142">
      <x:c r="A142" t="s">
        <x:v>29</x:v>
      </x:c>
    </x:row>
    <x:row r="143">
      <x:c r="A143">
        <x:v>1</x:v>
      </x:c>
      <x:c r="B143" t="n">
        <x:f>122.5+16.88+4.49+0.25+4.41+0.14+0.15+3.7+1.07+1.07+2.36+0.51+0.6+3.47+4.52+2.29+0.29</x:f>
        <x:v>168.69999999999996</x:v>
      </x:c>
    </x:row>
    <x:row r="144">
      <x:c r="A144">
        <x:v>2</x:v>
      </x:c>
      <x:c r="B144" t="n">
        <x:f>0.31+0.69+3.61+3.23+3.29+17.81+2.9+6.58+15.59+2.72+1.23+9.29</x:f>
        <x:v>67.24999999999999</x:v>
      </x:c>
    </x:row>
    <x:row r="145">
      <x:c r="A145">
        <x:v>3</x:v>
      </x:c>
      <x:c r="B145" t="n">
        <x:f>20.57+4.42+0.33+15.68+1.98+6.49+44.3+4.37+0.53+10.61+6.81+0.8+1.1+3.28+17.99+26.24+5.35+1.87+2.24</x:f>
        <x:v>174.96</x:v>
      </x:c>
    </x:row>
    <x:row r="147">
      <x:c r="A147" t="s">
        <x:v>30</x:v>
      </x:c>
    </x:row>
    <x:row r="148">
      <x:c r="A148">
        <x:v>1</x:v>
      </x:c>
      <x:c r="B148" t="n">
        <x:f>1.55+0.13+1.75+0.37+1.39+1.4+1.81+2.04+3.97+3.33+1.64+1.5184+2.76+0.58+1.24+1.03+1.97+0.63+0.63+2.74</x:f>
        <x:v>32.47839999999999</x:v>
      </x:c>
    </x:row>
    <x:row r="149">
      <x:c r="A149">
        <x:v>2</x:v>
      </x:c>
      <x:c r="B149" t="n">
        <x:f>2.67+0.47+0.82+0.96+0.41+1.24+7.81+2.4+7.8+4.11+14.51+9+2.91</x:f>
        <x:v>55.11</x:v>
      </x:c>
    </x:row>
    <x:row r="150">
      <x:c r="A150">
        <x:v>3</x:v>
      </x:c>
      <x:c r="B150" t="n">
        <x:f>5.95+7.52+5.35+1.57+1.57+1.57+0.3+0.3+0.3+6.71+11.32+0.9</x:f>
        <x:v>43.36000000000001</x:v>
      </x:c>
    </x:row>
    <x:row r="152">
      <x:c r="A152" t="s">
        <x:v>31</x:v>
      </x:c>
    </x:row>
    <x:row r="153">
      <x:c r="A153">
        <x:v>1</x:v>
      </x:c>
      <x:c r="B153" t="n">
        <x:f>3.31+1.45+1.02+1.11+3.74+5.37+0.29+1.09+0.6+4.35+2.87+0.48+1.39+1.52+2.42+1.55+2.03+1.85+0.56+3.44+0.6+0.14+0.53+2.23</x:f>
        <x:v>43.94</x:v>
      </x:c>
    </x:row>
    <x:row r="154">
      <x:c r="A154">
        <x:v>2</x:v>
      </x:c>
      <x:c r="B154" t="n">
        <x:f>4.8+4.89+2.89+4.9+2.58+0.47+0.9+0.91+8.04+12.28+1.56</x:f>
        <x:v>44.22</x:v>
      </x:c>
    </x:row>
    <x:row r="155">
      <x:c r="A155">
        <x:v>3</x:v>
      </x:c>
      <x:c r="B155" t="n">
        <x:f>5.95+7.52+5.35+1.57+1.57+1.57+0.3+0.3+0.3+6.71+11.32+0.9</x:f>
        <x:v>43.36000000000001</x:v>
      </x:c>
    </x:row>
    <x:row r="157">
      <x:c r="A157" t="s">
        <x:v>32</x:v>
      </x:c>
    </x:row>
    <x:row r="158">
      <x:c r="A158">
        <x:v>1</x:v>
      </x:c>
      <x:c r="B158" t="n">
        <x:f>11.86+8.11+3.52+0.94+2.95+6.64+2.84+0.53+2.68+2.74+3.87+2.58+1.1+10.29+1.19+0.53+3.93+0.53+3.45+2.68+6.53</x:f>
        <x:v>79.49000000000001</x:v>
      </x:c>
    </x:row>
    <x:row r="159">
      <x:c r="A159">
        <x:v>2</x:v>
      </x:c>
      <x:c r="B159" t="n">
        <x:f>3.75+1.09+15.11+2.01+10.28+88</x:f>
        <x:v>120.24000000000001</x:v>
      </x:c>
    </x:row>
    <x:row r="160">
      <x:c r="A160">
        <x:v>3</x:v>
      </x:c>
      <x:c r="B160" t="n">
        <x:f>6.15+6.15+2.58+2.58+5.35+1.57+0.3+25.88+2.24</x:f>
        <x:v>52.800000000000004</x:v>
      </x:c>
    </x:row>
    <x:row r="162">
      <x:c r="A162" t="s">
        <x:v>33</x:v>
      </x:c>
    </x:row>
    <x:row r="163">
      <x:c r="A163">
        <x:v>1</x:v>
      </x:c>
      <x:c r="B163" t="n">
        <x:f>11.86+2.79+0.59+0.59+6.82+1+2.15+1.73+0.59+3.01+0.41+0.44+2.24+0.88+0.42+0.27+2.19+1.68+1.01+1.57+3.72+1.97+0.67+0.5+4.53+0.43</x:f>
        <x:v>54.06</x:v>
      </x:c>
    </x:row>
    <x:row r="164">
      <x:c r="A164">
        <x:v>2</x:v>
      </x:c>
      <x:c r="B164" t="n">
        <x:f>6.11+6.99+4.83+2.51+4.93+1.97+1.99+0.69+5.85+3.01</x:f>
        <x:v>38.879999999999995</x:v>
      </x:c>
    </x:row>
    <x:row r="165">
      <x:c r="A165">
        <x:v>3</x:v>
      </x:c>
      <x:c r="B165" t="n">
        <x:f>0.39+4.78+3.95+2.55+14.55+9.03+7.7</x:f>
        <x:v>42.95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sheetData>
    <x:row r="1">
      <x:c r="A1" s="3" t="str">
        <x:v>ชั้น</x:v>
      </x:c>
      <x:c r="B1" s="9" t="str">
        <x:v>โค้ดประตู</x:v>
      </x:c>
      <x:c r="C1" s="3" t="str">
        <x:v>ต.น.ห้อง</x:v>
      </x:c>
      <x:c r="D1" s="3" t="str">
        <x:v>อุปกรณ์ </x:v>
      </x:c>
      <x:c r="E1" s="3" t="str">
        <x:v>จำนวนบาน</x:v>
      </x:c>
      <x:c r="F1" s="3" t="str">
        <x:v>หมายเหตุ</x:v>
      </x:c>
      <x:c r="G1"/>
      <x:c r="H1"/>
    </x:row>
    <x:row r="2">
      <x:c r="A2" s="14" t="str">
        <x:v>B2</x:v>
      </x:c>
      <x:c r="B2" s="9" t="str">
        <x:v>D01f120</x:v>
      </x:c>
      <x:c r="C2" s="7" t="str">
        <x:v>B203-1</x:v>
      </x:c>
      <x:c r="D2" s="3" t="n">
        <x:v>2</x:v>
      </x:c>
      <x:c r="E2" s="19" t="n">
        <x:v>1</x:v>
      </x:c>
      <x:c r="F2" s="3"/>
      <x:c r="G2"/>
      <x:c r="H2"/>
    </x:row>
    <x:row r="3">
      <x:c r="A3" s="14"/>
      <x:c r="B3" s="10"/>
      <x:c r="C3" s="7" t="str">
        <x:v>B204-1</x:v>
      </x:c>
      <x:c r="D3" s="3" t="n">
        <x:v>2</x:v>
      </x:c>
      <x:c r="E3" s="19" t="n">
        <x:v>1</x:v>
      </x:c>
      <x:c r="F3" s="3"/>
      <x:c r="G3"/>
      <x:c r="H3"/>
    </x:row>
    <x:row r="4">
      <x:c r="A4" s="14"/>
      <x:c r="B4" s="11"/>
      <x:c r="C4" s="7"/>
      <x:c r="D4" s="3" t="str">
        <x:v>รวม</x:v>
      </x:c>
      <x:c r="E4" s="20" t="n">
        <x:v>2</x:v>
      </x:c>
      <x:c r="F4" s="3"/>
      <x:c r="G4"/>
      <x:c r="H4"/>
    </x:row>
    <x:row r="5">
      <x:c r="A5" s="14"/>
      <x:c r="B5" s="10" t="str">
        <x:v>D02f120</x:v>
      </x:c>
      <x:c r="C5" s="7" t="str">
        <x:v>B201-1</x:v>
      </x:c>
      <x:c r="D5" s="3" t="n">
        <x:v>18</x:v>
      </x:c>
      <x:c r="E5" s="19" t="n">
        <x:v>1</x:v>
      </x:c>
      <x:c r="F5" s="3"/>
      <x:c r="G5"/>
      <x:c r="H5"/>
    </x:row>
    <x:row r="6">
      <x:c r="A6" s="14"/>
      <x:c r="B6" s="10"/>
      <x:c r="C6" s="7" t="str">
        <x:v>B201-2</x:v>
      </x:c>
      <x:c r="D6" s="3" t="n">
        <x:v>18</x:v>
      </x:c>
      <x:c r="E6" s="19" t="n">
        <x:v>1</x:v>
      </x:c>
      <x:c r="F6" s="3"/>
      <x:c r="G6"/>
      <x:c r="H6"/>
    </x:row>
    <x:row r="7">
      <x:c r="A7" s="14"/>
      <x:c r="B7" s="10"/>
      <x:c r="C7" s="7" t="str">
        <x:v>B202-1</x:v>
      </x:c>
      <x:c r="D7" s="3" t="n">
        <x:v>16</x:v>
      </x:c>
      <x:c r="E7" s="19" t="n">
        <x:v>1</x:v>
      </x:c>
      <x:c r="F7" s="3"/>
      <x:c r="G7"/>
      <x:c r="H7"/>
    </x:row>
    <x:row r="8">
      <x:c r="A8" s="14"/>
      <x:c r="B8" s="11"/>
      <x:c r="C8" s="7"/>
      <x:c r="D8" s="3" t="str">
        <x:v>รวม</x:v>
      </x:c>
      <x:c r="E8" s="20" t="n">
        <x:v>3</x:v>
      </x:c>
      <x:c r="F8" s="3"/>
      <x:c r="G8"/>
      <x:c r="H8"/>
    </x:row>
    <x:row r="9">
      <x:c r="A9" s="14"/>
      <x:c r="B9" s="10" t="str">
        <x:v>D04</x:v>
      </x:c>
      <x:c r="C9" s="7" t="str">
        <x:v>B201-3</x:v>
      </x:c>
      <x:c r="D9" s="3" t="n">
        <x:v>10</x:v>
      </x:c>
      <x:c r="E9" s="19" t="n">
        <x:v>1</x:v>
      </x:c>
      <x:c r="F9" s="3"/>
      <x:c r="G9"/>
      <x:c r="H9"/>
    </x:row>
    <x:row r="10">
      <x:c r="A10" s="14"/>
      <x:c r="B10" s="10"/>
      <x:c r="C10" s="7" t="str">
        <x:v>B205-1</x:v>
      </x:c>
      <x:c r="D10" s="3" t="n">
        <x:v>10</x:v>
      </x:c>
      <x:c r="E10" s="19" t="n">
        <x:v>1</x:v>
      </x:c>
      <x:c r="F10" s="3"/>
      <x:c r="G10"/>
      <x:c r="H10"/>
    </x:row>
    <x:row r="11">
      <x:c r="A11" s="14"/>
      <x:c r="B11" s="10"/>
      <x:c r="C11" s="7" t="str">
        <x:v>B206-1</x:v>
      </x:c>
      <x:c r="D11" s="3" t="n">
        <x:v>10</x:v>
      </x:c>
      <x:c r="E11" s="19" t="n">
        <x:v>1</x:v>
      </x:c>
      <x:c r="F11" s="3"/>
      <x:c r="G11"/>
      <x:c r="H11"/>
    </x:row>
    <x:row r="12">
      <x:c r="A12" s="14"/>
      <x:c r="B12" s="10"/>
      <x:c r="C12" s="7" t="str">
        <x:v>B207-1</x:v>
      </x:c>
      <x:c r="D12" s="3" t="n">
        <x:v>10</x:v>
      </x:c>
      <x:c r="E12" s="19" t="n">
        <x:v>1</x:v>
      </x:c>
      <x:c r="F12" s="3"/>
      <x:c r="G12"/>
      <x:c r="H12"/>
    </x:row>
    <x:row r="13">
      <x:c r="A13" s="14"/>
      <x:c r="B13" s="11"/>
      <x:c r="C13" s="7"/>
      <x:c r="D13" s="3" t="str">
        <x:v>รวม</x:v>
      </x:c>
      <x:c r="E13" s="20" t="n">
        <x:v>4</x:v>
      </x:c>
      <x:c r="F13" s="3"/>
      <x:c r="G13"/>
      <x:c r="H13"/>
    </x:row>
    <x:row r="14">
      <x:c r="A14" s="14"/>
      <x:c r="B14" s="10" t="str">
        <x:v>D08</x:v>
      </x:c>
      <x:c r="C14" s="7" t="str">
        <x:v>T-B201-1</x:v>
      </x:c>
      <x:c r="D14" s="3" t="n">
        <x:v>12</x:v>
      </x:c>
      <x:c r="E14" s="19" t="n">
        <x:v>1</x:v>
      </x:c>
      <x:c r="F14" s="3"/>
      <x:c r="G14"/>
      <x:c r="H14"/>
    </x:row>
    <x:row r="15">
      <x:c r="A15" s="14"/>
      <x:c r="B15" s="10"/>
      <x:c r="C15" s="7"/>
      <x:c r="D15" s="3" t="str">
        <x:v>รวม</x:v>
      </x:c>
      <x:c r="E15" s="20" t="n">
        <x:v>1</x:v>
      </x:c>
      <x:c r="F15" s="3"/>
      <x:c r="G15"/>
      <x:c r="H15"/>
    </x:row>
    <x:row r="16">
      <x:c r="A16" s="14"/>
      <x:c r="B16" s="9" t="str">
        <x:v>D09</x:v>
      </x:c>
      <x:c r="C16" s="7" t="str">
        <x:v>B208-1</x:v>
      </x:c>
      <x:c r="D16" s="3" t="n">
        <x:v>29</x:v>
      </x:c>
      <x:c r="E16" s="19" t="n">
        <x:v>1</x:v>
      </x:c>
      <x:c r="F16" s="3"/>
      <x:c r="G16"/>
      <x:c r="H16"/>
    </x:row>
    <x:row r="17">
      <x:c r="A17" s="14"/>
      <x:c r="B17" s="10"/>
      <x:c r="C17" s="7" t="str">
        <x:v>B208-2</x:v>
      </x:c>
      <x:c r="D17" s="3" t="n">
        <x:v>29</x:v>
      </x:c>
      <x:c r="E17" s="19" t="n">
        <x:v>1</x:v>
      </x:c>
      <x:c r="F17" s="3"/>
      <x:c r="G17"/>
      <x:c r="H17"/>
    </x:row>
    <x:row r="18">
      <x:c r="A18" s="14"/>
      <x:c r="B18" s="10"/>
      <x:c r="C18" s="7" t="str">
        <x:v>B208-3</x:v>
      </x:c>
      <x:c r="D18" s="3" t="n">
        <x:v>29</x:v>
      </x:c>
      <x:c r="E18" s="19" t="n">
        <x:v>1</x:v>
      </x:c>
      <x:c r="F18" s="3"/>
      <x:c r="G18"/>
      <x:c r="H18"/>
    </x:row>
    <x:row r="19">
      <x:c r="A19" s="14"/>
      <x:c r="B19" s="10"/>
      <x:c r="C19" s="7" t="str">
        <x:v>B208-4</x:v>
      </x:c>
      <x:c r="D19" s="3" t="n">
        <x:v>29</x:v>
      </x:c>
      <x:c r="E19" s="19" t="n">
        <x:v>1</x:v>
      </x:c>
      <x:c r="F19" s="3"/>
      <x:c r="G19"/>
      <x:c r="H19"/>
    </x:row>
    <x:row r="20">
      <x:c r="A20" s="14"/>
      <x:c r="B20" s="10"/>
      <x:c r="C20" s="7" t="str">
        <x:v>B208-5</x:v>
      </x:c>
      <x:c r="D20" s="3" t="n">
        <x:v>29</x:v>
      </x:c>
      <x:c r="E20" s="19" t="n">
        <x:v>1</x:v>
      </x:c>
      <x:c r="F20" s="3"/>
      <x:c r="G20"/>
      <x:c r="H20"/>
    </x:row>
    <x:row r="21">
      <x:c r="A21" s="14"/>
      <x:c r="B21" s="10"/>
      <x:c r="C21" s="7" t="str">
        <x:v>B209-1</x:v>
      </x:c>
      <x:c r="D21" s="3" t="n">
        <x:v>29</x:v>
      </x:c>
      <x:c r="E21" s="19" t="n">
        <x:v>1</x:v>
      </x:c>
      <x:c r="F21" s="3"/>
      <x:c r="G21"/>
      <x:c r="H21"/>
    </x:row>
    <x:row r="22">
      <x:c r="A22" s="14"/>
      <x:c r="B22" s="10"/>
      <x:c r="C22" s="7" t="str">
        <x:v>B209-2</x:v>
      </x:c>
      <x:c r="D22" s="3" t="n">
        <x:v>29</x:v>
      </x:c>
      <x:c r="E22" s="19" t="n">
        <x:v>1</x:v>
      </x:c>
      <x:c r="F22" s="3"/>
      <x:c r="G22"/>
      <x:c r="H22"/>
    </x:row>
    <x:row r="23">
      <x:c r="A23" s="14"/>
      <x:c r="B23" s="10"/>
      <x:c r="C23" s="7" t="str">
        <x:v>B209-3</x:v>
      </x:c>
      <x:c r="D23" s="3" t="n">
        <x:v>29</x:v>
      </x:c>
      <x:c r="E23" s="19" t="n">
        <x:v>1</x:v>
      </x:c>
      <x:c r="F23" s="3"/>
      <x:c r="G23"/>
      <x:c r="H23"/>
    </x:row>
    <x:row r="24">
      <x:c r="A24" s="14"/>
      <x:c r="B24" s="10"/>
      <x:c r="C24" s="7" t="str">
        <x:v>B209-4</x:v>
      </x:c>
      <x:c r="D24" s="3" t="n">
        <x:v>29</x:v>
      </x:c>
      <x:c r="E24" s="19" t="n">
        <x:v>1</x:v>
      </x:c>
      <x:c r="F24" s="3"/>
      <x:c r="G24"/>
      <x:c r="H24"/>
    </x:row>
    <x:row r="25">
      <x:c r="A25" s="8"/>
      <x:c r="B25" s="13"/>
      <x:c r="C25" s="12"/>
      <x:c r="D25" s="4" t="str">
        <x:v>รวม</x:v>
      </x:c>
      <x:c r="E25" s="20" t="n">
        <x:v>9</x:v>
      </x:c>
      <x:c r="F25" s="4"/>
      <x:c r="G25" s="5"/>
      <x:c r="H25" s="5"/>
    </x:row>
    <x:row r="26">
      <x:c r="A26" t="str">
        <x:v>B1</x:v>
      </x:c>
      <x:c r="B26" t="str">
        <x:v>D01f120</x:v>
      </x:c>
      <x:c r="C26" t="str">
        <x:v>B101-1</x:v>
      </x:c>
      <x:c r="D26" t="n">
        <x:v>1</x:v>
      </x:c>
      <x:c r="E26" s="21" t="n">
        <x:v>1</x:v>
      </x:c>
      <x:c r="F26"/>
      <x:c r="G26"/>
      <x:c r="H26"/>
    </x:row>
    <x:row r="27">
      <x:c r="A27"/>
      <x:c r="B27" t="str">
        <x:v>D01f120</x:v>
      </x:c>
      <x:c r="C27" t="str">
        <x:v>B103-1</x:v>
      </x:c>
      <x:c r="D27" t="n">
        <x:v>1</x:v>
      </x:c>
      <x:c r="E27" s="21" t="n">
        <x:v>1</x:v>
      </x:c>
      <x:c r="F27"/>
      <x:c r="G27"/>
      <x:c r="H27"/>
    </x:row>
    <x:row r="28">
      <x:c r="A28"/>
      <x:c r="B28" t="str">
        <x:v>D01f120</x:v>
      </x:c>
      <x:c r="C28" t="str">
        <x:v>B111-2</x:v>
      </x:c>
      <x:c r="D28" t="n">
        <x:v>2</x:v>
      </x:c>
      <x:c r="E28" s="21" t="n">
        <x:v>1</x:v>
      </x:c>
      <x:c r="F28"/>
      <x:c r="G28"/>
      <x:c r="H28"/>
    </x:row>
    <x:row r="29">
      <x:c r="A29"/>
      <x:c r="B29"/>
      <x:c r="C29"/>
      <x:c r="D29"/>
      <x:c r="E29" s="21"/>
      <x:c r="F29"/>
      <x:c r="G29"/>
      <x:c r="H29"/>
    </x:row>
    <x:row r="30">
      <x:c r="A30"/>
      <x:c r="B30" t="str">
        <x:v>D02f120</x:v>
      </x:c>
      <x:c r="C30" t="str">
        <x:v>B109-1</x:v>
      </x:c>
      <x:c r="D30" t="n">
        <x:v>18</x:v>
      </x:c>
      <x:c r="E30" s="21" t="n">
        <x:v>1</x:v>
      </x:c>
      <x:c r="F30"/>
      <x:c r="G30"/>
      <x:c r="H30"/>
    </x:row>
    <x:row r="31">
      <x:c r="A31"/>
      <x:c r="B31"/>
      <x:c r="C31"/>
      <x:c r="D31"/>
      <x:c r="E31" s="21"/>
      <x:c r="F31"/>
      <x:c r="G31"/>
      <x:c r="H31"/>
    </x:row>
    <x:row r="32">
      <x:c r="A32"/>
      <x:c r="B32" t="str">
        <x:v>D03</x:v>
      </x:c>
      <x:c r="C32" t="str">
        <x:v>B126-1</x:v>
      </x:c>
      <x:c r="D32" t="n">
        <x:v>18</x:v>
      </x:c>
      <x:c r="E32" s="21" t="n">
        <x:v>1</x:v>
      </x:c>
      <x:c r="F32"/>
      <x:c r="G32"/>
      <x:c r="H32"/>
    </x:row>
    <x:row r="33">
      <x:c r="A33"/>
      <x:c r="B33"/>
      <x:c r="C33"/>
      <x:c r="D33"/>
      <x:c r="E33" s="21"/>
      <x:c r="F33"/>
      <x:c r="G33"/>
      <x:c r="H33"/>
    </x:row>
    <x:row r="34">
      <x:c r="A34"/>
      <x:c r="B34" t="str">
        <x:v>D03Af120</x:v>
      </x:c>
      <x:c r="C34" t="str">
        <x:v>B102-1</x:v>
      </x:c>
      <x:c r="D34" t="n">
        <x:v>14</x:v>
      </x:c>
      <x:c r="E34" s="21" t="n">
        <x:v>1</x:v>
      </x:c>
      <x:c r="F34"/>
      <x:c r="G34"/>
      <x:c r="H34"/>
    </x:row>
    <x:row r="35">
      <x:c r="A35"/>
      <x:c r="B35" t="str">
        <x:v>D03Af120</x:v>
      </x:c>
      <x:c r="C35" t="str">
        <x:v>B102-2</x:v>
      </x:c>
      <x:c r="D35" t="n">
        <x:v>14</x:v>
      </x:c>
      <x:c r="E35" s="21" t="n">
        <x:v>1</x:v>
      </x:c>
      <x:c r="F35"/>
      <x:c r="G35"/>
      <x:c r="H35"/>
    </x:row>
    <x:row r="36">
      <x:c r="A36"/>
      <x:c r="B36"/>
      <x:c r="C36"/>
      <x:c r="D36"/>
      <x:c r="E36" s="21"/>
      <x:c r="F36"/>
      <x:c r="G36"/>
      <x:c r="H36"/>
    </x:row>
    <x:row r="37">
      <x:c r="A37"/>
      <x:c r="B37" t="str">
        <x:v>D03A.1f60</x:v>
      </x:c>
      <x:c r="C37" t="str">
        <x:v>B111-1</x:v>
      </x:c>
      <x:c r="D37" t="n">
        <x:v>14</x:v>
      </x:c>
      <x:c r="E37" s="21" t="n">
        <x:v>1</x:v>
      </x:c>
      <x:c r="F37"/>
      <x:c r="G37"/>
      <x:c r="H37"/>
    </x:row>
    <x:row r="38">
      <x:c r="A38"/>
      <x:c r="B38" t="str">
        <x:v>D03A.1f60</x:v>
      </x:c>
      <x:c r="C38" t="str">
        <x:v>B121-1</x:v>
      </x:c>
      <x:c r="D38" t="n">
        <x:v>14</x:v>
      </x:c>
      <x:c r="E38" s="21" t="n">
        <x:v>1</x:v>
      </x:c>
      <x:c r="F38"/>
      <x:c r="G38"/>
      <x:c r="H38"/>
    </x:row>
    <x:row r="39">
      <x:c r="A39"/>
      <x:c r="B39" t="str">
        <x:v>D03A.1f60</x:v>
      </x:c>
      <x:c r="C39" t="str">
        <x:v>B121-2</x:v>
      </x:c>
      <x:c r="D39" t="n">
        <x:v>14</x:v>
      </x:c>
      <x:c r="E39" s="21" t="n">
        <x:v>1</x:v>
      </x:c>
      <x:c r="F39"/>
      <x:c r="G39"/>
      <x:c r="H39"/>
    </x:row>
    <x:row r="40">
      <x:c r="A40"/>
      <x:c r="B40" t="str">
        <x:v>D03A.1f60</x:v>
      </x:c>
      <x:c r="C40" t="str">
        <x:v>B124-1</x:v>
      </x:c>
      <x:c r="D40" t="n">
        <x:v>14</x:v>
      </x:c>
      <x:c r="E40" s="21" t="n">
        <x:v>1</x:v>
      </x:c>
      <x:c r="F40"/>
      <x:c r="G40"/>
      <x:c r="H40"/>
    </x:row>
    <x:row r="41">
      <x:c r="A41"/>
      <x:c r="B41" t="str">
        <x:v>D03A.1f60</x:v>
      </x:c>
      <x:c r="C41" t="str">
        <x:v>B124-2</x:v>
      </x:c>
      <x:c r="D41" t="n">
        <x:v>14</x:v>
      </x:c>
      <x:c r="E41" s="21" t="n">
        <x:v>1</x:v>
      </x:c>
      <x:c r="F41"/>
      <x:c r="G41"/>
      <x:c r="H41"/>
    </x:row>
    <x:row r="42">
      <x:c r="A42"/>
      <x:c r="B42"/>
      <x:c r="C42"/>
      <x:c r="D42"/>
      <x:c r="E42" s="21"/>
      <x:c r="F42"/>
      <x:c r="G42"/>
      <x:c r="H42"/>
    </x:row>
    <x:row r="43">
      <x:c r="A43"/>
      <x:c r="B43" t="str">
        <x:v>D04</x:v>
      </x:c>
      <x:c r="C43" t="str">
        <x:v>B106-2</x:v>
      </x:c>
      <x:c r="D43" t="n">
        <x:v>10</x:v>
      </x:c>
      <x:c r="E43" s="21" t="n">
        <x:v>1</x:v>
      </x:c>
      <x:c r="F43"/>
      <x:c r="G43"/>
      <x:c r="H43"/>
    </x:row>
    <x:row r="44">
      <x:c r="A44"/>
      <x:c r="B44" t="str">
        <x:v>D04</x:v>
      </x:c>
      <x:c r="C44" t="str">
        <x:v>B112-1</x:v>
      </x:c>
      <x:c r="D44" t="n">
        <x:v>3</x:v>
      </x:c>
      <x:c r="E44" s="21" t="n">
        <x:v>1</x:v>
      </x:c>
      <x:c r="F44"/>
      <x:c r="G44"/>
      <x:c r="H44"/>
    </x:row>
    <x:row r="45">
      <x:c r="A45"/>
      <x:c r="B45" t="str">
        <x:v>D04</x:v>
      </x:c>
      <x:c r="C45" t="str">
        <x:v>B113-1</x:v>
      </x:c>
      <x:c r="D45" t="n">
        <x:v>9</x:v>
      </x:c>
      <x:c r="E45" s="21" t="n">
        <x:v>1</x:v>
      </x:c>
      <x:c r="F45"/>
      <x:c r="G45"/>
      <x:c r="H45"/>
    </x:row>
    <x:row r="46">
      <x:c r="A46"/>
      <x:c r="B46" t="str">
        <x:v>D04</x:v>
      </x:c>
      <x:c r="C46" t="str">
        <x:v>B125-1</x:v>
      </x:c>
      <x:c r="D46" t="n">
        <x:v>10</x:v>
      </x:c>
      <x:c r="E46" s="21" t="n">
        <x:v>1</x:v>
      </x:c>
      <x:c r="F46"/>
      <x:c r="G46"/>
      <x:c r="H46"/>
    </x:row>
    <x:row r="47">
      <x:c r="A47"/>
      <x:c r="B47" t="str">
        <x:v>D04</x:v>
      </x:c>
      <x:c r="C47" t="str">
        <x:v>B129-1</x:v>
      </x:c>
      <x:c r="D47" t="n">
        <x:v>10</x:v>
      </x:c>
      <x:c r="E47" s="21" t="n">
        <x:v>1</x:v>
      </x:c>
      <x:c r="F47"/>
      <x:c r="G47"/>
      <x:c r="H47"/>
    </x:row>
    <x:row r="48">
      <x:c r="A48"/>
      <x:c r="B48" t="str">
        <x:v>D04</x:v>
      </x:c>
      <x:c r="C48" t="str">
        <x:v>B130-1</x:v>
      </x:c>
      <x:c r="D48" t="n">
        <x:v>9</x:v>
      </x:c>
      <x:c r="E48" s="21" t="n">
        <x:v>1</x:v>
      </x:c>
      <x:c r="F48"/>
      <x:c r="G48"/>
      <x:c r="H48"/>
    </x:row>
    <x:row r="49">
      <x:c r="A49"/>
      <x:c r="B49" t="str">
        <x:v>D04</x:v>
      </x:c>
      <x:c r="C49" t="str">
        <x:v>B130-2</x:v>
      </x:c>
      <x:c r="D49" t="n">
        <x:v>10</x:v>
      </x:c>
      <x:c r="E49" s="21" t="n">
        <x:v>1</x:v>
      </x:c>
      <x:c r="F49"/>
      <x:c r="G49"/>
      <x:c r="H49"/>
    </x:row>
    <x:row r="50">
      <x:c r="A50"/>
      <x:c r="B50"/>
      <x:c r="C50"/>
      <x:c r="D50"/>
      <x:c r="E50" s="21"/>
      <x:c r="F50"/>
      <x:c r="G50"/>
      <x:c r="H50"/>
    </x:row>
    <x:row r="51">
      <x:c r="A51"/>
      <x:c r="B51" t="str">
        <x:v>D04A</x:v>
      </x:c>
      <x:c r="C51" t="str">
        <x:v>B114-1</x:v>
      </x:c>
      <x:c r="D51" t="n">
        <x:v>5</x:v>
      </x:c>
      <x:c r="E51" s="21" t="n">
        <x:v>1</x:v>
      </x:c>
      <x:c r="F51"/>
      <x:c r="G51"/>
      <x:c r="H51"/>
    </x:row>
    <x:row r="52">
      <x:c r="A52"/>
      <x:c r="B52" t="str">
        <x:v>D04A</x:v>
      </x:c>
      <x:c r="C52" t="str">
        <x:v>B123-1</x:v>
      </x:c>
      <x:c r="D52" t="n">
        <x:v>5</x:v>
      </x:c>
      <x:c r="E52" s="21" t="n">
        <x:v>1</x:v>
      </x:c>
      <x:c r="F52"/>
      <x:c r="G52"/>
      <x:c r="H52"/>
    </x:row>
    <x:row r="53">
      <x:c r="A53"/>
      <x:c r="B53"/>
      <x:c r="C53"/>
      <x:c r="D53"/>
      <x:c r="E53" s="21"/>
      <x:c r="F53"/>
      <x:c r="G53"/>
      <x:c r="H53"/>
    </x:row>
    <x:row r="54">
      <x:c r="A54"/>
      <x:c r="B54" t="str">
        <x:v>D04Af60</x:v>
      </x:c>
      <x:c r="C54" t="str">
        <x:v>B119-1</x:v>
      </x:c>
      <x:c r="D54" t="n">
        <x:v>5</x:v>
      </x:c>
      <x:c r="E54" s="21" t="n">
        <x:v>1</x:v>
      </x:c>
      <x:c r="F54"/>
      <x:c r="G54"/>
      <x:c r="H54"/>
    </x:row>
    <x:row r="55">
      <x:c r="A55"/>
      <x:c r="B55"/>
      <x:c r="C55"/>
      <x:c r="D55"/>
      <x:c r="E55" s="21"/>
      <x:c r="F55"/>
      <x:c r="G55"/>
      <x:c r="H55"/>
    </x:row>
    <x:row r="56">
      <x:c r="A56"/>
      <x:c r="B56" t="str">
        <x:v>D04A.1f120</x:v>
      </x:c>
      <x:c r="C56" t="str">
        <x:v>B111-2</x:v>
      </x:c>
      <x:c r="D56" t="n">
        <x:v>5</x:v>
      </x:c>
      <x:c r="E56" s="21" t="n">
        <x:v>1</x:v>
      </x:c>
      <x:c r="F56"/>
      <x:c r="G56"/>
      <x:c r="H56"/>
    </x:row>
    <x:row r="57">
      <x:c r="A57"/>
      <x:c r="B57"/>
      <x:c r="C57"/>
      <x:c r="D57"/>
      <x:c r="E57" s="21"/>
      <x:c r="F57"/>
      <x:c r="G57"/>
      <x:c r="H57"/>
    </x:row>
    <x:row r="58">
      <x:c r="A58"/>
      <x:c r="B58" t="str">
        <x:v>D06</x:v>
      </x:c>
      <x:c r="C58" t="str">
        <x:v>B106-1</x:v>
      </x:c>
      <x:c r="D58" t="n">
        <x:v>22</x:v>
      </x:c>
      <x:c r="E58" s="21" t="n">
        <x:v>1</x:v>
      </x:c>
      <x:c r="F58"/>
      <x:c r="G58"/>
      <x:c r="H58"/>
    </x:row>
    <x:row r="59">
      <x:c r="A59"/>
      <x:c r="B59" t="str">
        <x:v>D06</x:v>
      </x:c>
      <x:c r="C59" t="str">
        <x:v>B114-2</x:v>
      </x:c>
      <x:c r="D59" t="n">
        <x:v>22</x:v>
      </x:c>
      <x:c r="E59" s="21" t="n">
        <x:v>1</x:v>
      </x:c>
      <x:c r="F59"/>
      <x:c r="G59"/>
      <x:c r="H59"/>
    </x:row>
    <x:row r="60">
      <x:c r="A60"/>
      <x:c r="B60"/>
      <x:c r="C60"/>
      <x:c r="D60"/>
      <x:c r="E60" s="21"/>
      <x:c r="F60"/>
      <x:c r="G60"/>
      <x:c r="H60"/>
    </x:row>
    <x:row r="61">
      <x:c r="A61"/>
      <x:c r="B61" t="str">
        <x:v>D07.1f60</x:v>
      </x:c>
      <x:c r="C61" t="str">
        <x:v>B111-3</x:v>
      </x:c>
      <x:c r="D61" t="n">
        <x:v>27</x:v>
      </x:c>
      <x:c r="E61" s="21" t="n">
        <x:v>1</x:v>
      </x:c>
      <x:c r="F61"/>
      <x:c r="G61"/>
      <x:c r="H61"/>
    </x:row>
    <x:row r="62">
      <x:c r="A62"/>
      <x:c r="B62"/>
      <x:c r="C62"/>
      <x:c r="D62"/>
      <x:c r="E62" s="21"/>
      <x:c r="F62"/>
      <x:c r="G62"/>
      <x:c r="H62"/>
    </x:row>
    <x:row r="63">
      <x:c r="A63"/>
      <x:c r="B63" t="str">
        <x:v>D08</x:v>
      </x:c>
      <x:c r="C63" t="str">
        <x:v>T-B101-1</x:v>
      </x:c>
      <x:c r="D63" t="n">
        <x:v>12</x:v>
      </x:c>
      <x:c r="E63" s="21" t="n">
        <x:v>1</x:v>
      </x:c>
      <x:c r="F63"/>
      <x:c r="G63"/>
      <x:c r="H63"/>
    </x:row>
    <x:row r="64">
      <x:c r="A64"/>
      <x:c r="B64" t="str">
        <x:v>D08</x:v>
      </x:c>
      <x:c r="C64" t="str">
        <x:v>T-B102-1</x:v>
      </x:c>
      <x:c r="D64" t="n">
        <x:v>12</x:v>
      </x:c>
      <x:c r="E64" s="21" t="n">
        <x:v>1</x:v>
      </x:c>
      <x:c r="F64"/>
      <x:c r="G64"/>
      <x:c r="H64"/>
    </x:row>
    <x:row r="65">
      <x:c r="A65"/>
      <x:c r="B65"/>
      <x:c r="C65"/>
      <x:c r="D65"/>
      <x:c r="E65" s="21"/>
      <x:c r="F65"/>
      <x:c r="G65"/>
      <x:c r="H65"/>
    </x:row>
    <x:row r="66">
      <x:c r="A66"/>
      <x:c r="B66" t="str">
        <x:v>AD03</x:v>
      </x:c>
      <x:c r="C66" t="str">
        <x:v>B127-1</x:v>
      </x:c>
      <x:c r="D66" t="n">
        <x:v>34</x:v>
      </x:c>
      <x:c r="E66" s="21" t="n">
        <x:v>1</x:v>
      </x:c>
      <x:c r="F66"/>
      <x:c r="G66"/>
      <x:c r="H66"/>
    </x:row>
    <x:row r="67">
      <x:c r="A67" s="2"/>
      <x:c r="B67" s="2"/>
      <x:c r="C67" s="2"/>
      <x:c r="D67" s="2"/>
      <x:c r="E67" s="22"/>
      <x:c r="F67" s="2"/>
      <x:c r="G67" s="2"/>
      <x:c r="H67" s="2"/>
    </x:row>
    <x:row r="68">
      <x:c r="A68" t="str">
        <x:v>G</x:v>
      </x:c>
      <x:c r="B68" t="str">
        <x:v>D0.1</x:v>
      </x:c>
      <x:c r="C68" t="str">
        <x:v>G09-1</x:v>
      </x:c>
      <x:c r="D68"/>
      <x:c r="E68" s="21" t="n">
        <x:v>1</x:v>
      </x:c>
      <x:c r="F68"/>
      <x:c r="G68"/>
      <x:c r="H68"/>
    </x:row>
    <x:row r="69">
      <x:c r="A69"/>
      <x:c r="B69" t="str">
        <x:v>D0.1</x:v>
      </x:c>
      <x:c r="C69" t="str">
        <x:v>T-G01-1</x:v>
      </x:c>
      <x:c r="D69"/>
      <x:c r="E69" s="21" t="n">
        <x:v>1</x:v>
      </x:c>
      <x:c r="F69"/>
      <x:c r="G69"/>
      <x:c r="H69"/>
    </x:row>
    <x:row r="70">
      <x:c r="A70"/>
      <x:c r="B70" t="str">
        <x:v>D0.1</x:v>
      </x:c>
      <x:c r="C70" t="str">
        <x:v>T-G02-1</x:v>
      </x:c>
      <x:c r="D70"/>
      <x:c r="E70" s="21" t="n">
        <x:v>1</x:v>
      </x:c>
      <x:c r="F70"/>
      <x:c r="G70"/>
      <x:c r="H70"/>
    </x:row>
    <x:row r="71">
      <x:c r="A71"/>
      <x:c r="B71" t="str">
        <x:v>D0.1</x:v>
      </x:c>
      <x:c r="C71" t="str">
        <x:v>T-G04-1</x:v>
      </x:c>
      <x:c r="D71"/>
      <x:c r="E71" s="21" t="n">
        <x:v>1</x:v>
      </x:c>
      <x:c r="F71"/>
      <x:c r="G71"/>
      <x:c r="H71"/>
    </x:row>
    <x:row r="72">
      <x:c r="A72"/>
      <x:c r="B72"/>
      <x:c r="C72"/>
      <x:c r="D72"/>
      <x:c r="E72" s="21"/>
      <x:c r="F72"/>
      <x:c r="G72"/>
      <x:c r="H72"/>
    </x:row>
    <x:row r="73">
      <x:c r="A73"/>
      <x:c r="B73" t="str">
        <x:v>D0.2</x:v>
      </x:c>
      <x:c r="C73" t="str">
        <x:v>G22-3</x:v>
      </x:c>
      <x:c r="D73"/>
      <x:c r="E73" s="21" t="n">
        <x:v>1</x:v>
      </x:c>
      <x:c r="F73"/>
      <x:c r="G73"/>
      <x:c r="H73"/>
    </x:row>
    <x:row r="74">
      <x:c r="A74"/>
      <x:c r="B74"/>
      <x:c r="C74"/>
      <x:c r="D74"/>
      <x:c r="E74" s="21"/>
      <x:c r="F74"/>
      <x:c r="G74"/>
      <x:c r="H74"/>
    </x:row>
    <x:row r="75">
      <x:c r="A75"/>
      <x:c r="B75" t="str">
        <x:v>D01</x:v>
      </x:c>
      <x:c r="C75" t="str">
        <x:v>G05-3</x:v>
      </x:c>
      <x:c r="D75" t="n">
        <x:v>11</x:v>
      </x:c>
      <x:c r="E75" s="21" t="n">
        <x:v>1</x:v>
      </x:c>
      <x:c r="F75"/>
      <x:c r="G75"/>
      <x:c r="H75"/>
    </x:row>
    <x:row r="76">
      <x:c r="A76"/>
      <x:c r="B76"/>
      <x:c r="C76"/>
      <x:c r="D76"/>
      <x:c r="E76" s="21"/>
      <x:c r="F76"/>
      <x:c r="G76"/>
      <x:c r="H76"/>
    </x:row>
    <x:row r="77">
      <x:c r="A77"/>
      <x:c r="B77" t="str">
        <x:v>D01f120</x:v>
      </x:c>
      <x:c r="C77" t="str">
        <x:v>G05-4</x:v>
      </x:c>
      <x:c r="D77" t="n">
        <x:v>1</x:v>
      </x:c>
      <x:c r="E77" s="21" t="n">
        <x:v>1</x:v>
      </x:c>
      <x:c r="F77"/>
      <x:c r="G77"/>
      <x:c r="H77"/>
    </x:row>
    <x:row r="78">
      <x:c r="A78"/>
      <x:c r="B78" t="str">
        <x:v>D01f120</x:v>
      </x:c>
      <x:c r="C78" t="str">
        <x:v>G17-3</x:v>
      </x:c>
      <x:c r="D78" t="n">
        <x:v>1</x:v>
      </x:c>
      <x:c r="E78" s="21" t="n">
        <x:v>1</x:v>
      </x:c>
      <x:c r="F78"/>
      <x:c r="G78"/>
      <x:c r="H78"/>
    </x:row>
    <x:row r="79">
      <x:c r="A79"/>
      <x:c r="B79"/>
      <x:c r="C79"/>
      <x:c r="D79"/>
      <x:c r="E79" s="21"/>
      <x:c r="F79"/>
      <x:c r="G79"/>
      <x:c r="H79"/>
    </x:row>
    <x:row r="80">
      <x:c r="A80"/>
      <x:c r="B80" t="str">
        <x:v>D02</x:v>
      </x:c>
      <x:c r="C80" t="str">
        <x:v>G21-1</x:v>
      </x:c>
      <x:c r="D80" t="n">
        <x:v>18</x:v>
      </x:c>
      <x:c r="E80" s="21" t="n">
        <x:v>1</x:v>
      </x:c>
      <x:c r="F80"/>
      <x:c r="G80"/>
      <x:c r="H80"/>
    </x:row>
    <x:row r="81">
      <x:c r="A81"/>
      <x:c r="B81"/>
      <x:c r="C81"/>
      <x:c r="D81"/>
      <x:c r="E81" s="21"/>
      <x:c r="F81"/>
      <x:c r="G81"/>
      <x:c r="H81"/>
    </x:row>
    <x:row r="82">
      <x:c r="A82"/>
      <x:c r="B82" t="str">
        <x:v>D02f60</x:v>
      </x:c>
      <x:c r="C82" t="str">
        <x:v>G14-1</x:v>
      </x:c>
      <x:c r="D82" t="n">
        <x:v>20</x:v>
      </x:c>
      <x:c r="E82" s="21" t="n">
        <x:v>1</x:v>
      </x:c>
      <x:c r="F82"/>
      <x:c r="G82"/>
      <x:c r="H82"/>
    </x:row>
    <x:row r="83">
      <x:c r="A83"/>
      <x:c r="B83" t="str">
        <x:v>D02f60</x:v>
      </x:c>
      <x:c r="C83" t="str">
        <x:v>G14-2</x:v>
      </x:c>
      <x:c r="D83" t="n">
        <x:v>20</x:v>
      </x:c>
      <x:c r="E83" s="21" t="n">
        <x:v>1</x:v>
      </x:c>
      <x:c r="F83"/>
      <x:c r="G83"/>
      <x:c r="H83"/>
    </x:row>
    <x:row r="84">
      <x:c r="A84"/>
      <x:c r="B84"/>
      <x:c r="C84"/>
      <x:c r="D84"/>
      <x:c r="E84" s="21"/>
      <x:c r="F84"/>
      <x:c r="G84"/>
      <x:c r="H84"/>
    </x:row>
    <x:row r="85">
      <x:c r="A85"/>
      <x:c r="B85" t="str">
        <x:v>D03f60</x:v>
      </x:c>
      <x:c r="C85" t="str">
        <x:v>G20-1</x:v>
      </x:c>
      <x:c r="D85" t="n">
        <x:v>19</x:v>
      </x:c>
      <x:c r="E85" s="21" t="n">
        <x:v>1</x:v>
      </x:c>
      <x:c r="F85"/>
      <x:c r="G85"/>
      <x:c r="H85"/>
    </x:row>
    <x:row r="86">
      <x:c r="A86"/>
      <x:c r="B86"/>
      <x:c r="C86"/>
      <x:c r="D86"/>
      <x:c r="E86" s="21"/>
      <x:c r="F86"/>
      <x:c r="G86"/>
      <x:c r="H86"/>
    </x:row>
    <x:row r="87">
      <x:c r="A87"/>
      <x:c r="B87" t="str">
        <x:v>D03Af120</x:v>
      </x:c>
      <x:c r="C87" t="str">
        <x:v>G02-1</x:v>
      </x:c>
      <x:c r="D87" t="n">
        <x:v>14</x:v>
      </x:c>
      <x:c r="E87" s="21" t="n">
        <x:v>1</x:v>
      </x:c>
      <x:c r="F87"/>
      <x:c r="G87"/>
      <x:c r="H87"/>
    </x:row>
    <x:row r="88">
      <x:c r="A88"/>
      <x:c r="B88"/>
      <x:c r="C88"/>
      <x:c r="D88"/>
      <x:c r="E88" s="21"/>
      <x:c r="F88"/>
      <x:c r="G88"/>
      <x:c r="H88"/>
    </x:row>
    <x:row r="89">
      <x:c r="A89"/>
      <x:c r="B89" t="str">
        <x:v>D04</x:v>
      </x:c>
      <x:c r="C89" t="str">
        <x:v>G16-1</x:v>
      </x:c>
      <x:c r="D89" t="n">
        <x:v>9</x:v>
      </x:c>
      <x:c r="E89" s="21" t="n">
        <x:v>1</x:v>
      </x:c>
      <x:c r="F89"/>
      <x:c r="G89"/>
      <x:c r="H89"/>
    </x:row>
    <x:row r="90">
      <x:c r="A90"/>
      <x:c r="B90" t="str">
        <x:v>D04</x:v>
      </x:c>
      <x:c r="C90" t="str">
        <x:v>G16-2</x:v>
      </x:c>
      <x:c r="D90" t="n">
        <x:v>10</x:v>
      </x:c>
      <x:c r="E90" s="21" t="n">
        <x:v>1</x:v>
      </x:c>
      <x:c r="F90"/>
      <x:c r="G90"/>
      <x:c r="H90"/>
    </x:row>
    <x:row r="91">
      <x:c r="A91"/>
      <x:c r="B91"/>
      <x:c r="C91"/>
      <x:c r="D91"/>
      <x:c r="E91" s="21"/>
      <x:c r="F91"/>
      <x:c r="G91"/>
      <x:c r="H91"/>
    </x:row>
    <x:row r="92">
      <x:c r="A92"/>
      <x:c r="B92" t="str">
        <x:v>D04A</x:v>
      </x:c>
      <x:c r="C92" t="str">
        <x:v>G15-1</x:v>
      </x:c>
      <x:c r="D92" t="n">
        <x:v>5</x:v>
      </x:c>
      <x:c r="E92" s="21" t="n">
        <x:v>1</x:v>
      </x:c>
      <x:c r="F92"/>
      <x:c r="G92"/>
      <x:c r="H92"/>
    </x:row>
    <x:row r="93">
      <x:c r="A93"/>
      <x:c r="B93" t="str">
        <x:v>D04A</x:v>
      </x:c>
      <x:c r="C93" t="str">
        <x:v>G17-1</x:v>
      </x:c>
      <x:c r="D93" t="n">
        <x:v>5</x:v>
      </x:c>
      <x:c r="E93" s="21" t="n">
        <x:v>1</x:v>
      </x:c>
      <x:c r="F93"/>
      <x:c r="G93"/>
      <x:c r="H93"/>
    </x:row>
    <x:row r="94">
      <x:c r="A94"/>
      <x:c r="B94" t="str">
        <x:v>D04A</x:v>
      </x:c>
      <x:c r="C94" t="str">
        <x:v>G22-1</x:v>
      </x:c>
      <x:c r="D94" t="n">
        <x:v>5</x:v>
      </x:c>
      <x:c r="E94" s="21" t="n">
        <x:v>1</x:v>
      </x:c>
      <x:c r="F94"/>
      <x:c r="G94"/>
      <x:c r="H94"/>
    </x:row>
    <x:row r="95">
      <x:c r="A95"/>
      <x:c r="B95" t="str">
        <x:v>D04A</x:v>
      </x:c>
      <x:c r="C95" t="str">
        <x:v>G22-2</x:v>
      </x:c>
      <x:c r="D95" t="n">
        <x:v>5</x:v>
      </x:c>
      <x:c r="E95" s="21" t="n">
        <x:v>1</x:v>
      </x:c>
      <x:c r="F95"/>
      <x:c r="G95"/>
      <x:c r="H95"/>
    </x:row>
    <x:row r="96">
      <x:c r="A96"/>
      <x:c r="B96" t="str">
        <x:v>D04A</x:v>
      </x:c>
      <x:c r="C96" t="str">
        <x:v>G22-4</x:v>
      </x:c>
      <x:c r="D96" t="n">
        <x:v>5</x:v>
      </x:c>
      <x:c r="E96" s="21" t="n">
        <x:v>1</x:v>
      </x:c>
      <x:c r="F96"/>
      <x:c r="G96"/>
      <x:c r="H96"/>
    </x:row>
    <x:row r="97">
      <x:c r="A97"/>
      <x:c r="B97"/>
      <x:c r="C97"/>
      <x:c r="D97"/>
      <x:c r="E97" s="21"/>
      <x:c r="F97"/>
      <x:c r="G97"/>
      <x:c r="H97"/>
    </x:row>
    <x:row r="98">
      <x:c r="A98"/>
      <x:c r="B98" t="str">
        <x:v>D05</x:v>
      </x:c>
      <x:c r="C98" t="str">
        <x:v>G18-1</x:v>
      </x:c>
      <x:c r="D98" t="n">
        <x:v>23</x:v>
      </x:c>
      <x:c r="E98" s="21" t="n">
        <x:v>1</x:v>
      </x:c>
      <x:c r="F98"/>
      <x:c r="G98"/>
      <x:c r="H98"/>
    </x:row>
    <x:row r="99">
      <x:c r="A99"/>
      <x:c r="B99"/>
      <x:c r="C99"/>
      <x:c r="D99"/>
      <x:c r="E99" s="21"/>
      <x:c r="F99"/>
      <x:c r="G99"/>
      <x:c r="H99"/>
    </x:row>
    <x:row r="100">
      <x:c r="A100"/>
      <x:c r="B100" t="str">
        <x:v>D06</x:v>
      </x:c>
      <x:c r="C100" t="str">
        <x:v>G18-1</x:v>
      </x:c>
      <x:c r="D100" t="n">
        <x:v>22</x:v>
      </x:c>
      <x:c r="E100" s="21" t="n">
        <x:v>1</x:v>
      </x:c>
      <x:c r="F100"/>
      <x:c r="G100"/>
      <x:c r="H100"/>
    </x:row>
    <x:row r="101">
      <x:c r="A101"/>
      <x:c r="B101"/>
      <x:c r="C101"/>
      <x:c r="D101"/>
      <x:c r="E101" s="21"/>
      <x:c r="F101"/>
      <x:c r="G101"/>
      <x:c r="H101"/>
    </x:row>
    <x:row r="102">
      <x:c r="A102"/>
      <x:c r="B102" t="str">
        <x:v>D06.1</x:v>
      </x:c>
      <x:c r="C102" t="str">
        <x:v>G06-1</x:v>
      </x:c>
      <x:c r="D102" t="n">
        <x:v>22</x:v>
      </x:c>
      <x:c r="E102" s="21" t="n">
        <x:v>1</x:v>
      </x:c>
      <x:c r="F102"/>
      <x:c r="G102"/>
      <x:c r="H102"/>
    </x:row>
    <x:row r="103">
      <x:c r="A103"/>
      <x:c r="B103"/>
      <x:c r="C103"/>
      <x:c r="D103"/>
      <x:c r="E103" s="21"/>
      <x:c r="F103"/>
      <x:c r="G103"/>
      <x:c r="H103"/>
    </x:row>
    <x:row r="104">
      <x:c r="A104"/>
      <x:c r="B104" t="str">
        <x:v>D07</x:v>
      </x:c>
      <x:c r="C104" t="str">
        <x:v>G22-6</x:v>
      </x:c>
      <x:c r="D104" t="n">
        <x:v>26</x:v>
      </x:c>
      <x:c r="E104" s="21" t="n">
        <x:v>1</x:v>
      </x:c>
      <x:c r="F104"/>
      <x:c r="G104"/>
      <x:c r="H104"/>
    </x:row>
    <x:row r="105">
      <x:c r="A105"/>
      <x:c r="B105"/>
      <x:c r="C105"/>
      <x:c r="D105"/>
      <x:c r="E105" s="21"/>
      <x:c r="F105"/>
      <x:c r="G105"/>
      <x:c r="H105"/>
    </x:row>
    <x:row r="106">
      <x:c r="A106"/>
      <x:c r="B106" t="str">
        <x:v>D13</x:v>
      </x:c>
      <x:c r="C106" t="str">
        <x:v>G22-5</x:v>
      </x:c>
      <x:c r="D106" t="n">
        <x:v>15</x:v>
      </x:c>
      <x:c r="E106" s="21" t="n">
        <x:v>1</x:v>
      </x:c>
      <x:c r="F106"/>
      <x:c r="G106"/>
      <x:c r="H106"/>
    </x:row>
    <x:row r="107">
      <x:c r="A107"/>
      <x:c r="B107"/>
      <x:c r="C107"/>
      <x:c r="D107"/>
      <x:c r="E107" s="21"/>
      <x:c r="F107"/>
      <x:c r="G107"/>
      <x:c r="H107"/>
    </x:row>
    <x:row r="108">
      <x:c r="A108"/>
      <x:c r="B108" t="str">
        <x:v>D13f60</x:v>
      </x:c>
      <x:c r="C108" t="str">
        <x:v>G02-2</x:v>
      </x:c>
      <x:c r="D108" t="n">
        <x:v>17</x:v>
      </x:c>
      <x:c r="E108" s="21" t="n">
        <x:v>1</x:v>
      </x:c>
      <x:c r="F108"/>
      <x:c r="G108"/>
      <x:c r="H108"/>
    </x:row>
    <x:row r="109">
      <x:c r="A109"/>
      <x:c r="B109"/>
      <x:c r="C109"/>
      <x:c r="D109"/>
      <x:c r="E109" s="21"/>
      <x:c r="F109"/>
      <x:c r="G109"/>
      <x:c r="H109"/>
    </x:row>
    <x:row r="110">
      <x:c r="A110"/>
      <x:c r="B110" t="str">
        <x:v>AD02</x:v>
      </x:c>
      <x:c r="C110" t="str">
        <x:v>G05-1</x:v>
      </x:c>
      <x:c r="D110" t="n">
        <x:v>33</x:v>
      </x:c>
      <x:c r="E110" s="21" t="n">
        <x:v>1</x:v>
      </x:c>
      <x:c r="F110"/>
      <x:c r="G110"/>
      <x:c r="H110"/>
    </x:row>
    <x:row r="111">
      <x:c r="A111"/>
      <x:c r="B111" t="str">
        <x:v>AD02</x:v>
      </x:c>
      <x:c r="C111" t="str">
        <x:v>G05-2</x:v>
      </x:c>
      <x:c r="D111" t="n">
        <x:v>33</x:v>
      </x:c>
      <x:c r="E111" s="21" t="n">
        <x:v>1</x:v>
      </x:c>
      <x:c r="F111"/>
      <x:c r="G111"/>
      <x:c r="H111"/>
    </x:row>
    <x:row r="112">
      <x:c r="A112" s="2"/>
      <x:c r="B112" s="2"/>
      <x:c r="C112" s="2"/>
      <x:c r="D112" s="2"/>
      <x:c r="E112" s="22"/>
      <x:c r="F112" s="2"/>
      <x:c r="G112" s="2"/>
      <x:c r="H112" s="2"/>
    </x:row>
    <x:row r="113">
      <x:c r="A113" t="str">
        <x:v>1</x:v>
      </x:c>
      <x:c r="B113" t="str">
        <x:v>D01f120</x:v>
      </x:c>
      <x:c r="C113" t="str">
        <x:v>103-1</x:v>
      </x:c>
      <x:c r="D113" t="n">
        <x:v>1</x:v>
      </x:c>
      <x:c r="E113" s="21" t="n">
        <x:v>1</x:v>
      </x:c>
      <x:c r="F113"/>
      <x:c r="G113"/>
      <x:c r="H113"/>
    </x:row>
    <x:row r="114">
      <x:c r="A114"/>
      <x:c r="B114" t="str">
        <x:v>D01f120</x:v>
      </x:c>
      <x:c r="C114" t="str">
        <x:v>104-1</x:v>
      </x:c>
      <x:c r="D114" t="n">
        <x:v>1</x:v>
      </x:c>
      <x:c r="E114" s="21" t="n">
        <x:v>1</x:v>
      </x:c>
      <x:c r="F114"/>
      <x:c r="G114"/>
      <x:c r="H114"/>
    </x:row>
    <x:row r="115">
      <x:c r="A115"/>
      <x:c r="B115"/>
      <x:c r="C115"/>
      <x:c r="D115"/>
      <x:c r="E115" s="21"/>
      <x:c r="F115"/>
      <x:c r="G115"/>
      <x:c r="H115"/>
    </x:row>
    <x:row r="116">
      <x:c r="A116"/>
      <x:c r="B116" t="str">
        <x:v>D02f120</x:v>
      </x:c>
      <x:c r="C116" t="str">
        <x:v>107-1</x:v>
      </x:c>
      <x:c r="D116" t="n">
        <x:v>18</x:v>
      </x:c>
      <x:c r="E116" s="21" t="n">
        <x:v>1</x:v>
      </x:c>
      <x:c r="F116"/>
      <x:c r="G116"/>
      <x:c r="H116"/>
    </x:row>
    <x:row r="117">
      <x:c r="A117"/>
      <x:c r="B117" t="str">
        <x:v>D02f120</x:v>
      </x:c>
      <x:c r="C117" t="str">
        <x:v>108-1</x:v>
      </x:c>
      <x:c r="D117" t="n">
        <x:v>18</x:v>
      </x:c>
      <x:c r="E117" s="21" t="n">
        <x:v>1</x:v>
      </x:c>
      <x:c r="F117"/>
      <x:c r="G117"/>
      <x:c r="H117"/>
    </x:row>
    <x:row r="118">
      <x:c r="A118"/>
      <x:c r="B118"/>
      <x:c r="C118"/>
      <x:c r="D118"/>
      <x:c r="E118" s="21"/>
      <x:c r="F118"/>
      <x:c r="G118"/>
      <x:c r="H118"/>
    </x:row>
    <x:row r="119">
      <x:c r="A119"/>
      <x:c r="B119" t="str">
        <x:v>D06</x:v>
      </x:c>
      <x:c r="C119" t="str">
        <x:v>105-1</x:v>
      </x:c>
      <x:c r="D119" t="n">
        <x:v>22</x:v>
      </x:c>
      <x:c r="E119" s="21" t="n">
        <x:v>1</x:v>
      </x:c>
      <x:c r="F119"/>
      <x:c r="G119"/>
      <x:c r="H119"/>
    </x:row>
    <x:row r="120">
      <x:c r="A120"/>
      <x:c r="B120" t="str">
        <x:v>D06</x:v>
      </x:c>
      <x:c r="C120" t="str">
        <x:v>107-2</x:v>
      </x:c>
      <x:c r="D120" t="n">
        <x:v>22</x:v>
      </x:c>
      <x:c r="E120" s="21" t="n">
        <x:v>1</x:v>
      </x:c>
      <x:c r="F120"/>
      <x:c r="G120"/>
      <x:c r="H120"/>
    </x:row>
    <x:row r="121">
      <x:c r="A121"/>
      <x:c r="B121"/>
      <x:c r="C121"/>
      <x:c r="D121"/>
      <x:c r="E121" s="21"/>
      <x:c r="F121"/>
      <x:c r="G121"/>
      <x:c r="H121"/>
    </x:row>
    <x:row r="122">
      <x:c r="A122"/>
      <x:c r="B122" t="str">
        <x:v>AD04</x:v>
      </x:c>
      <x:c r="C122" t="str">
        <x:v>106-1</x:v>
      </x:c>
      <x:c r="D122" t="n">
        <x:v>35</x:v>
      </x:c>
      <x:c r="E122" s="21" t="n">
        <x:v>1</x:v>
      </x:c>
      <x:c r="F122"/>
      <x:c r="G122"/>
      <x:c r="H122"/>
    </x:row>
    <x:row r="123">
      <x:c r="A123"/>
      <x:c r="B123"/>
      <x:c r="C123"/>
      <x:c r="D123"/>
      <x:c r="E123" s="21"/>
      <x:c r="F123"/>
      <x:c r="G123"/>
      <x:c r="H123"/>
    </x:row>
    <x:row r="124">
      <x:c r="A124"/>
      <x:c r="B124" t="str">
        <x:v>AD05</x:v>
      </x:c>
      <x:c r="C124" t="str">
        <x:v>101-1</x:v>
      </x:c>
      <x:c r="D124" t="n">
        <x:v>36</x:v>
      </x:c>
      <x:c r="E124" s="21" t="n">
        <x:v>1</x:v>
      </x:c>
      <x:c r="F124"/>
      <x:c r="G124"/>
      <x:c r="H124"/>
    </x:row>
    <x:row r="125">
      <x:c r="A125" s="2"/>
      <x:c r="B125" s="2"/>
      <x:c r="C125" s="2"/>
      <x:c r="D125" s="2"/>
      <x:c r="E125" s="22"/>
      <x:c r="F125" s="2"/>
      <x:c r="G125" s="2"/>
      <x:c r="H125" s="2"/>
    </x:row>
    <x:row r="126">
      <x:c r="A126" t="str">
        <x:v>1A</x:v>
      </x:c>
      <x:c r="B126" t="str">
        <x:v>D01f120</x:v>
      </x:c>
      <x:c r="C126" t="str">
        <x:v>1A03-1</x:v>
      </x:c>
      <x:c r="D126" t="n">
        <x:v>1</x:v>
      </x:c>
      <x:c r="E126" s="21" t="n">
        <x:v>1</x:v>
      </x:c>
      <x:c r="F126"/>
      <x:c r="G126"/>
      <x:c r="H126"/>
    </x:row>
    <x:row r="127">
      <x:c r="A127"/>
      <x:c r="B127" t="str">
        <x:v>D01f120</x:v>
      </x:c>
      <x:c r="C127" t="str">
        <x:v>1A04-1</x:v>
      </x:c>
      <x:c r="D127" t="n">
        <x:v>1</x:v>
      </x:c>
      <x:c r="E127" s="21" t="n">
        <x:v>1</x:v>
      </x:c>
      <x:c r="F127"/>
      <x:c r="G127"/>
      <x:c r="H127"/>
    </x:row>
    <x:row r="128">
      <x:c r="A128"/>
      <x:c r="B128"/>
      <x:c r="C128"/>
      <x:c r="D128"/>
      <x:c r="E128" s="21"/>
      <x:c r="F128"/>
      <x:c r="G128"/>
      <x:c r="H128"/>
    </x:row>
    <x:row r="129">
      <x:c r="A129"/>
      <x:c r="B129" t="str">
        <x:v>D02f120</x:v>
      </x:c>
      <x:c r="C129" t="str">
        <x:v>1A07-1</x:v>
      </x:c>
      <x:c r="D129" t="n">
        <x:v>18</x:v>
      </x:c>
      <x:c r="E129" s="21" t="n">
        <x:v>1</x:v>
      </x:c>
      <x:c r="F129"/>
      <x:c r="G129"/>
      <x:c r="H129"/>
    </x:row>
    <x:row r="130">
      <x:c r="A130"/>
      <x:c r="B130"/>
      <x:c r="C130"/>
      <x:c r="D130"/>
      <x:c r="E130" s="21"/>
      <x:c r="F130"/>
      <x:c r="G130"/>
      <x:c r="H130"/>
    </x:row>
    <x:row r="131">
      <x:c r="A131"/>
      <x:c r="B131" t="str">
        <x:v>D06</x:v>
      </x:c>
      <x:c r="C131" t="str">
        <x:v>1A05-1</x:v>
      </x:c>
      <x:c r="D131" t="n">
        <x:v>22</x:v>
      </x:c>
      <x:c r="E131" s="21" t="n">
        <x:v>1</x:v>
      </x:c>
      <x:c r="F131"/>
      <x:c r="G131"/>
      <x:c r="H131"/>
    </x:row>
    <x:row r="132">
      <x:c r="A132"/>
      <x:c r="B132" t="str">
        <x:v>D06</x:v>
      </x:c>
      <x:c r="C132" t="str">
        <x:v>1A07-2</x:v>
      </x:c>
      <x:c r="D132" t="n">
        <x:v>22</x:v>
      </x:c>
      <x:c r="E132" s="21" t="n">
        <x:v>1</x:v>
      </x:c>
      <x:c r="F132"/>
      <x:c r="G132"/>
      <x:c r="H132"/>
    </x:row>
    <x:row r="133">
      <x:c r="A133"/>
      <x:c r="B133"/>
      <x:c r="C133"/>
      <x:c r="D133"/>
      <x:c r="E133" s="21"/>
      <x:c r="F133"/>
      <x:c r="G133"/>
      <x:c r="H133"/>
    </x:row>
    <x:row r="134">
      <x:c r="A134"/>
      <x:c r="B134" t="str">
        <x:v>AD05</x:v>
      </x:c>
      <x:c r="C134" t="str">
        <x:v>1A01-1</x:v>
      </x:c>
      <x:c r="D134" t="n">
        <x:v>36</x:v>
      </x:c>
      <x:c r="E134" s="21" t="n">
        <x:v>1</x:v>
      </x:c>
      <x:c r="F134"/>
      <x:c r="G134"/>
      <x:c r="H134"/>
    </x:row>
    <x:row r="135">
      <x:c r="A135"/>
      <x:c r="B135" t="str">
        <x:v>AD05</x:v>
      </x:c>
      <x:c r="C135" t="str">
        <x:v>1A108-1</x:v>
      </x:c>
      <x:c r="D135" t="n">
        <x:v>36</x:v>
      </x:c>
      <x:c r="E135" s="21" t="n">
        <x:v>1</x:v>
      </x:c>
      <x:c r="F135"/>
      <x:c r="G135"/>
      <x:c r="H135"/>
    </x:row>
    <x:row r="136">
      <x:c r="A136" s="2"/>
      <x:c r="B136" s="2"/>
      <x:c r="C136" s="2"/>
      <x:c r="D136" s="2"/>
      <x:c r="E136" s="22"/>
      <x:c r="F136" s="2"/>
      <x:c r="G136" s="2"/>
      <x:c r="H136" s="2"/>
    </x:row>
    <x:row r="137">
      <x:c r="A137" t="str">
        <x:v>2</x:v>
      </x:c>
      <x:c r="B137" t="str">
        <x:v>D01f120</x:v>
      </x:c>
      <x:c r="C137" t="str">
        <x:v>204-1</x:v>
      </x:c>
      <x:c r="D137" t="n">
        <x:v>1</x:v>
      </x:c>
      <x:c r="E137" s="21" t="n">
        <x:v>1</x:v>
      </x:c>
      <x:c r="F137"/>
      <x:c r="G137"/>
      <x:c r="H137"/>
    </x:row>
    <x:row r="138">
      <x:c r="A138"/>
      <x:c r="B138" t="str">
        <x:v>D01f120</x:v>
      </x:c>
      <x:c r="C138" t="str">
        <x:v>205-2</x:v>
      </x:c>
      <x:c r="D138" t="n">
        <x:v>1</x:v>
      </x:c>
      <x:c r="E138" s="21" t="n">
        <x:v>1</x:v>
      </x:c>
      <x:c r="F138"/>
      <x:c r="G138"/>
      <x:c r="H138"/>
    </x:row>
    <x:row r="139">
      <x:c r="A139"/>
      <x:c r="B139"/>
      <x:c r="C139"/>
      <x:c r="D139"/>
      <x:c r="E139" s="21"/>
      <x:c r="F139"/>
      <x:c r="G139"/>
      <x:c r="H139"/>
    </x:row>
    <x:row r="140">
      <x:c r="A140"/>
      <x:c r="B140" t="str">
        <x:v>D02f120</x:v>
      </x:c>
      <x:c r="C140" t="str">
        <x:v>207-1</x:v>
      </x:c>
      <x:c r="D140" t="n">
        <x:v>16</x:v>
      </x:c>
      <x:c r="E140" s="21" t="n">
        <x:v>1</x:v>
      </x:c>
      <x:c r="F140"/>
      <x:c r="G140"/>
      <x:c r="H140"/>
    </x:row>
    <x:row r="141">
      <x:c r="A141"/>
      <x:c r="B141" t="str">
        <x:v>D02f120</x:v>
      </x:c>
      <x:c r="C141" t="str">
        <x:v>209-1</x:v>
      </x:c>
      <x:c r="D141" t="n">
        <x:v>18</x:v>
      </x:c>
      <x:c r="E141" s="21" t="n">
        <x:v>1</x:v>
      </x:c>
      <x:c r="F141"/>
      <x:c r="G141"/>
      <x:c r="H141"/>
    </x:row>
    <x:row r="142">
      <x:c r="A142"/>
      <x:c r="B142"/>
      <x:c r="C142"/>
      <x:c r="D142"/>
      <x:c r="E142" s="21"/>
      <x:c r="F142"/>
      <x:c r="G142"/>
      <x:c r="H142"/>
    </x:row>
    <x:row r="143">
      <x:c r="A143"/>
      <x:c r="B143" t="str">
        <x:v>D04</x:v>
      </x:c>
      <x:c r="C143" t="str">
        <x:v>207-3</x:v>
      </x:c>
      <x:c r="D143" t="n">
        <x:v>3</x:v>
      </x:c>
      <x:c r="E143" s="21" t="n">
        <x:v>1</x:v>
      </x:c>
      <x:c r="F143"/>
      <x:c r="G143"/>
      <x:c r="H143"/>
    </x:row>
    <x:row r="144">
      <x:c r="A144"/>
      <x:c r="B144"/>
      <x:c r="C144"/>
      <x:c r="D144"/>
      <x:c r="E144" s="21"/>
      <x:c r="F144"/>
      <x:c r="G144"/>
      <x:c r="H144"/>
    </x:row>
    <x:row r="145">
      <x:c r="A145"/>
      <x:c r="B145" t="str">
        <x:v>D06</x:v>
      </x:c>
      <x:c r="C145" t="str">
        <x:v>205-1</x:v>
      </x:c>
      <x:c r="D145" t="n">
        <x:v>22</x:v>
      </x:c>
      <x:c r="E145" s="21" t="n">
        <x:v>1</x:v>
      </x:c>
      <x:c r="F145"/>
      <x:c r="G145"/>
      <x:c r="H145"/>
    </x:row>
    <x:row r="146">
      <x:c r="A146"/>
      <x:c r="B146" t="str">
        <x:v>D06</x:v>
      </x:c>
      <x:c r="C146" t="str">
        <x:v>207-2</x:v>
      </x:c>
      <x:c r="D146" t="n">
        <x:v>22</x:v>
      </x:c>
      <x:c r="E146" s="21" t="n">
        <x:v>1</x:v>
      </x:c>
      <x:c r="F146"/>
      <x:c r="G146"/>
      <x:c r="H146"/>
    </x:row>
    <x:row r="147">
      <x:c r="A147"/>
      <x:c r="B147"/>
      <x:c r="C147"/>
      <x:c r="D147"/>
      <x:c r="E147" s="21"/>
      <x:c r="F147"/>
      <x:c r="G147"/>
      <x:c r="H147"/>
    </x:row>
    <x:row r="148">
      <x:c r="A148"/>
      <x:c r="B148" t="str">
        <x:v>AD05</x:v>
      </x:c>
      <x:c r="C148" t="str">
        <x:v>201-1</x:v>
      </x:c>
      <x:c r="D148" t="n">
        <x:v>36</x:v>
      </x:c>
      <x:c r="E148" s="21" t="n">
        <x:v>1</x:v>
      </x:c>
      <x:c r="F148"/>
      <x:c r="G148"/>
      <x:c r="H148"/>
    </x:row>
    <x:row r="149">
      <x:c r="A149"/>
      <x:c r="B149" t="str">
        <x:v>AD05</x:v>
      </x:c>
      <x:c r="C149" t="str">
        <x:v>206-1</x:v>
      </x:c>
      <x:c r="D149" t="n">
        <x:v>36</x:v>
      </x:c>
      <x:c r="E149" s="21" t="n">
        <x:v>1</x:v>
      </x:c>
      <x:c r="F149"/>
      <x:c r="G149"/>
      <x:c r="H149"/>
    </x:row>
    <x:row r="150">
      <x:c r="A150" s="2"/>
      <x:c r="B150" s="2"/>
      <x:c r="C150" s="2"/>
      <x:c r="D150" s="2"/>
      <x:c r="E150" s="22"/>
      <x:c r="F150" s="2"/>
      <x:c r="G150" s="2"/>
      <x:c r="H150" s="2"/>
    </x:row>
    <x:row r="151">
      <x:c r="A151" t="str">
        <x:v>2A</x:v>
      </x:c>
      <x:c r="B151" t="str">
        <x:v>D01f120</x:v>
      </x:c>
      <x:c r="C151" t="str">
        <x:v>2A02-1</x:v>
      </x:c>
      <x:c r="D151" t="n">
        <x:v>1</x:v>
      </x:c>
      <x:c r="E151" s="21" t="n">
        <x:v>1</x:v>
      </x:c>
      <x:c r="F151"/>
      <x:c r="G151"/>
      <x:c r="H151"/>
    </x:row>
    <x:row r="152">
      <x:c r="A152"/>
      <x:c r="B152" t="str">
        <x:v>D01f120</x:v>
      </x:c>
      <x:c r="C152" t="str">
        <x:v>2A03-1</x:v>
      </x:c>
      <x:c r="D152" t="n">
        <x:v>1</x:v>
      </x:c>
      <x:c r="E152" s="21" t="n">
        <x:v>1</x:v>
      </x:c>
      <x:c r="F152"/>
      <x:c r="G152"/>
      <x:c r="H152"/>
    </x:row>
    <x:row r="153">
      <x:c r="A153"/>
      <x:c r="B153" t="str">
        <x:v>D01f120</x:v>
      </x:c>
      <x:c r="C153" t="str">
        <x:v>2A04-1</x:v>
      </x:c>
      <x:c r="D153" t="n">
        <x:v>1</x:v>
      </x:c>
      <x:c r="E153" s="21" t="n">
        <x:v>1</x:v>
      </x:c>
      <x:c r="F153"/>
      <x:c r="G153"/>
      <x:c r="H153"/>
    </x:row>
    <x:row r="154">
      <x:c r="A154"/>
      <x:c r="B154"/>
      <x:c r="C154"/>
      <x:c r="D154"/>
      <x:c r="E154" s="21"/>
      <x:c r="F154"/>
      <x:c r="G154"/>
      <x:c r="H154"/>
    </x:row>
    <x:row r="155">
      <x:c r="A155"/>
      <x:c r="B155" t="str">
        <x:v>D06</x:v>
      </x:c>
      <x:c r="C155" t="str">
        <x:v>2A02-2</x:v>
      </x:c>
      <x:c r="D155" t="n">
        <x:v>22</x:v>
      </x:c>
      <x:c r="E155" s="21" t="n">
        <x:v>1</x:v>
      </x:c>
      <x:c r="F155"/>
      <x:c r="G155"/>
      <x:c r="H155"/>
    </x:row>
    <x:row r="156">
      <x:c r="A156"/>
      <x:c r="B156" t="str">
        <x:v>D06</x:v>
      </x:c>
      <x:c r="C156" t="str">
        <x:v>2A06-1</x:v>
      </x:c>
      <x:c r="D156" t="n">
        <x:v>22</x:v>
      </x:c>
      <x:c r="E156" s="21" t="n">
        <x:v>1</x:v>
      </x:c>
      <x:c r="F156"/>
      <x:c r="G156"/>
      <x:c r="H156"/>
    </x:row>
    <x:row r="157">
      <x:c r="A157"/>
      <x:c r="B157"/>
      <x:c r="C157"/>
      <x:c r="D157"/>
      <x:c r="E157" s="21"/>
      <x:c r="F157"/>
      <x:c r="G157"/>
      <x:c r="H157"/>
    </x:row>
    <x:row r="158">
      <x:c r="A158"/>
      <x:c r="B158" t="str">
        <x:v>AD05</x:v>
      </x:c>
      <x:c r="C158" t="str">
        <x:v>2A05-1</x:v>
      </x:c>
      <x:c r="D158" t="n">
        <x:v>36</x:v>
      </x:c>
      <x:c r="E158" s="21" t="n">
        <x:v>1</x:v>
      </x:c>
      <x:c r="F158"/>
      <x:c r="G158"/>
      <x:c r="H158"/>
    </x:row>
    <x:row r="159">
      <x:c r="A159"/>
      <x:c r="B159" t="str">
        <x:v>AD05</x:v>
      </x:c>
      <x:c r="C159" t="str">
        <x:v>2A07-1</x:v>
      </x:c>
      <x:c r="D159" t="n">
        <x:v>36</x:v>
      </x:c>
      <x:c r="E159" s="21" t="n">
        <x:v>1</x:v>
      </x:c>
      <x:c r="F159"/>
      <x:c r="G159"/>
      <x:c r="H159"/>
    </x:row>
    <x:row r="160">
      <x:c r="A160"/>
      <x:c r="B160"/>
      <x:c r="C160"/>
      <x:c r="D160"/>
      <x:c r="E160" s="21"/>
      <x:c r="F160"/>
      <x:c r="G160"/>
      <x:c r="H160"/>
    </x:row>
    <x:row r="161">
      <x:c r="A161"/>
      <x:c r="B161"/>
      <x:c r="C161" t="str">
        <x:v>T-2A01-1</x:v>
      </x:c>
      <x:c r="D161"/>
      <x:c r="E161" s="21" t="n">
        <x:v>1</x:v>
      </x:c>
      <x:c r="F161"/>
      <x:c r="G161"/>
      <x:c r="H161"/>
    </x:row>
    <x:row r="162">
      <x:c r="A162" s="2"/>
      <x:c r="B162" s="2"/>
      <x:c r="C162" s="2"/>
      <x:c r="D162" s="2"/>
      <x:c r="E162" s="22"/>
      <x:c r="F162" s="2"/>
      <x:c r="G162" s="2"/>
      <x:c r="H162" s="2"/>
    </x:row>
    <x:row r="163">
      <x:c r="A163" t="str">
        <x:v>2B</x:v>
      </x:c>
      <x:c r="B163" t="str">
        <x:v>D01f120</x:v>
      </x:c>
      <x:c r="C163" t="str">
        <x:v>2B02-1</x:v>
      </x:c>
      <x:c r="D163" t="n">
        <x:v>2</x:v>
      </x:c>
      <x:c r="E163" s="21" t="n">
        <x:v>1</x:v>
      </x:c>
      <x:c r="F163"/>
      <x:c r="G163"/>
      <x:c r="H163"/>
    </x:row>
    <x:row r="164">
      <x:c r="A164"/>
      <x:c r="B164" t="str">
        <x:v>D01f120</x:v>
      </x:c>
      <x:c r="C164" t="str">
        <x:v>2B03-1</x:v>
      </x:c>
      <x:c r="D164" t="n">
        <x:v>2</x:v>
      </x:c>
      <x:c r="E164" s="21" t="n">
        <x:v>1</x:v>
      </x:c>
      <x:c r="F164"/>
      <x:c r="G164"/>
      <x:c r="H164"/>
    </x:row>
    <x:row r="165">
      <x:c r="A165"/>
      <x:c r="B165" t="str">
        <x:v>D01f120</x:v>
      </x:c>
      <x:c r="C165" t="str">
        <x:v>2B03-2</x:v>
      </x:c>
      <x:c r="D165" t="n">
        <x:v>2</x:v>
      </x:c>
      <x:c r="E165" s="21" t="n">
        <x:v>1</x:v>
      </x:c>
      <x:c r="F165"/>
      <x:c r="G165"/>
      <x:c r="H165"/>
    </x:row>
    <x:row r="166">
      <x:c r="A166"/>
      <x:c r="B166"/>
      <x:c r="C166"/>
      <x:c r="D166"/>
      <x:c r="E166" s="21"/>
      <x:c r="F166"/>
      <x:c r="G166"/>
      <x:c r="H166"/>
    </x:row>
    <x:row r="167">
      <x:c r="A167"/>
      <x:c r="B167" t="str">
        <x:v>D02f120</x:v>
      </x:c>
      <x:c r="C167" t="str">
        <x:v>2B04-1</x:v>
      </x:c>
      <x:c r="D167" t="n">
        <x:v>18</x:v>
      </x:c>
      <x:c r="E167" s="21" t="n">
        <x:v>1</x:v>
      </x:c>
      <x:c r="F167"/>
      <x:c r="G167"/>
      <x:c r="H167"/>
    </x:row>
    <x:row r="168">
      <x:c r="A168"/>
      <x:c r="B168"/>
      <x:c r="C168"/>
      <x:c r="D168"/>
      <x:c r="E168" s="21"/>
      <x:c r="F168"/>
      <x:c r="G168"/>
      <x:c r="H168"/>
    </x:row>
    <x:row r="169">
      <x:c r="A169"/>
      <x:c r="B169" t="str">
        <x:v>D06</x:v>
      </x:c>
      <x:c r="C169" t="str">
        <x:v>2B05-1</x:v>
      </x:c>
      <x:c r="D169" t="n">
        <x:v>22</x:v>
      </x:c>
      <x:c r="E169" s="21" t="n">
        <x:v>1</x:v>
      </x:c>
      <x:c r="F169"/>
      <x:c r="G169"/>
      <x:c r="H169"/>
    </x:row>
    <x:row r="170">
      <x:c r="A170"/>
      <x:c r="B170" t="str">
        <x:v>D06</x:v>
      </x:c>
      <x:c r="C170" t="str">
        <x:v>2B05-1</x:v>
      </x:c>
      <x:c r="D170" t="n">
        <x:v>22</x:v>
      </x:c>
      <x:c r="E170" s="21" t="n">
        <x:v>1</x:v>
      </x:c>
      <x:c r="F170"/>
      <x:c r="G170"/>
      <x:c r="H170"/>
    </x:row>
    <x:row r="171">
      <x:c r="A171" s="2"/>
      <x:c r="B171" s="2"/>
      <x:c r="C171" s="2"/>
      <x:c r="D171" s="2"/>
      <x:c r="E171" s="22"/>
      <x:c r="F171" s="2"/>
      <x:c r="G171" s="2"/>
      <x:c r="H171" s="2"/>
    </x:row>
    <x:row r="172">
      <x:c r="A172" t="str">
        <x:v>3</x:v>
      </x:c>
      <x:c r="B172" t="str">
        <x:v>D01f120</x:v>
      </x:c>
      <x:c r="C172" t="str">
        <x:v>302-1</x:v>
      </x:c>
      <x:c r="D172" t="n">
        <x:v>2</x:v>
      </x:c>
      <x:c r="E172" s="21" t="n">
        <x:v>1</x:v>
      </x:c>
      <x:c r="F172"/>
      <x:c r="G172"/>
      <x:c r="H172"/>
    </x:row>
    <x:row r="173">
      <x:c r="A173"/>
      <x:c r="B173" t="str">
        <x:v>D01f120</x:v>
      </x:c>
      <x:c r="C173" t="str">
        <x:v>303-1</x:v>
      </x:c>
      <x:c r="D173" t="n">
        <x:v>2</x:v>
      </x:c>
      <x:c r="E173" s="21" t="n">
        <x:v>1</x:v>
      </x:c>
      <x:c r="F173"/>
      <x:c r="G173"/>
      <x:c r="H173"/>
    </x:row>
    <x:row r="174">
      <x:c r="A174"/>
      <x:c r="B174" t="str">
        <x:v>D01f120</x:v>
      </x:c>
      <x:c r="C174" t="str">
        <x:v>303-2</x:v>
      </x:c>
      <x:c r="D174" t="n">
        <x:v>2</x:v>
      </x:c>
      <x:c r="E174" s="21" t="n">
        <x:v>1</x:v>
      </x:c>
      <x:c r="F174"/>
      <x:c r="G174"/>
      <x:c r="H174"/>
    </x:row>
    <x:row r="175">
      <x:c r="A175"/>
      <x:c r="B175"/>
      <x:c r="C175"/>
      <x:c r="D175"/>
      <x:c r="E175" s="21"/>
      <x:c r="F175"/>
      <x:c r="G175"/>
      <x:c r="H175"/>
    </x:row>
    <x:row r="176">
      <x:c r="A176"/>
      <x:c r="B176" t="str">
        <x:v>D06</x:v>
      </x:c>
      <x:c r="C176" t="str">
        <x:v>305-1</x:v>
      </x:c>
      <x:c r="D176" t="n">
        <x:v>22</x:v>
      </x:c>
      <x:c r="E176" s="21" t="n">
        <x:v>1</x:v>
      </x:c>
      <x:c r="F176"/>
      <x:c r="G176"/>
      <x:c r="H176"/>
    </x:row>
    <x:row r="177">
      <x:c r="A177"/>
      <x:c r="B177" t="str">
        <x:v>D06</x:v>
      </x:c>
      <x:c r="C177" t="str">
        <x:v>305-1</x:v>
      </x:c>
      <x:c r="D177" t="n">
        <x:v>22</x:v>
      </x:c>
      <x:c r="E177" s="21" t="n">
        <x:v>1</x:v>
      </x:c>
      <x:c r="F177"/>
      <x:c r="G177"/>
      <x:c r="H177"/>
    </x:row>
    <x:row r="178">
      <x:c r="A178" s="2"/>
      <x:c r="B178" s="2"/>
      <x:c r="C178" s="2"/>
      <x:c r="D178" s="2"/>
      <x:c r="E178" s="22"/>
      <x:c r="F178" s="2"/>
      <x:c r="G178" s="2"/>
      <x:c r="H178" s="2"/>
    </x:row>
    <x:row r="179">
      <x:c r="A179" t="str">
        <x:v>3A</x:v>
      </x:c>
      <x:c r="B179" t="str">
        <x:v>D01f120</x:v>
      </x:c>
      <x:c r="C179" t="str">
        <x:v>3A01-2</x:v>
      </x:c>
      <x:c r="D179" t="n">
        <x:v>2</x:v>
      </x:c>
      <x:c r="E179" s="21" t="n">
        <x:v>1</x:v>
      </x:c>
      <x:c r="F179"/>
      <x:c r="G179"/>
      <x:c r="H179"/>
    </x:row>
    <x:row r="180">
      <x:c r="A180"/>
      <x:c r="B180" t="str">
        <x:v>D01f120</x:v>
      </x:c>
      <x:c r="C180" t="str">
        <x:v>3A02-1</x:v>
      </x:c>
      <x:c r="D180" t="n">
        <x:v>2</x:v>
      </x:c>
      <x:c r="E180" s="21" t="n">
        <x:v>1</x:v>
      </x:c>
      <x:c r="F180"/>
      <x:c r="G180"/>
      <x:c r="H180"/>
    </x:row>
    <x:row r="181">
      <x:c r="A181"/>
      <x:c r="B181" t="str">
        <x:v>D01f120</x:v>
      </x:c>
      <x:c r="C181" t="str">
        <x:v>3A03-1</x:v>
      </x:c>
      <x:c r="D181" t="n">
        <x:v>2</x:v>
      </x:c>
      <x:c r="E181" s="21" t="n">
        <x:v>1</x:v>
      </x:c>
      <x:c r="F181"/>
      <x:c r="G181"/>
      <x:c r="H181"/>
    </x:row>
    <x:row r="182">
      <x:c r="A182"/>
      <x:c r="B182"/>
      <x:c r="C182"/>
      <x:c r="D182"/>
      <x:c r="E182" s="21"/>
      <x:c r="F182"/>
      <x:c r="G182"/>
      <x:c r="H182"/>
    </x:row>
    <x:row r="183">
      <x:c r="A183"/>
      <x:c r="B183" t="str">
        <x:v>D02f120</x:v>
      </x:c>
      <x:c r="C183" t="str">
        <x:v>3A01-1</x:v>
      </x:c>
      <x:c r="D183" t="n">
        <x:v>18</x:v>
      </x:c>
      <x:c r="E183" s="21" t="n">
        <x:v>1</x:v>
      </x:c>
      <x:c r="F183"/>
      <x:c r="G183"/>
      <x:c r="H183"/>
    </x:row>
    <x:row r="184">
      <x:c r="A184"/>
      <x:c r="B184"/>
      <x:c r="C184"/>
      <x:c r="D184"/>
      <x:c r="E184" s="21"/>
      <x:c r="F184"/>
      <x:c r="G184"/>
      <x:c r="H184"/>
    </x:row>
    <x:row r="185">
      <x:c r="A185"/>
      <x:c r="B185" t="str">
        <x:v>D06</x:v>
      </x:c>
      <x:c r="C185" t="str">
        <x:v>3A04-1</x:v>
      </x:c>
      <x:c r="D185" t="n">
        <x:v>22</x:v>
      </x:c>
      <x:c r="E185" s="21" t="n">
        <x:v>1</x:v>
      </x:c>
      <x:c r="F185"/>
      <x:c r="G185"/>
      <x:c r="H185"/>
    </x:row>
    <x:row r="186">
      <x:c r="A186"/>
      <x:c r="B186" t="str">
        <x:v>D06</x:v>
      </x:c>
      <x:c r="C186" t="str">
        <x:v>3A04-1</x:v>
      </x:c>
      <x:c r="D186" t="n">
        <x:v>22</x:v>
      </x:c>
      <x:c r="E186" s="21" t="n">
        <x:v>1</x:v>
      </x:c>
      <x:c r="F186"/>
      <x:c r="G186"/>
      <x:c r="H186"/>
    </x:row>
    <x:row r="187">
      <x:c r="A187" s="2"/>
      <x:c r="B187" s="2"/>
      <x:c r="C187" s="2"/>
      <x:c r="D187" s="2"/>
      <x:c r="E187" s="22"/>
      <x:c r="F187" s="2"/>
      <x:c r="G187" s="2"/>
      <x:c r="H187" s="2"/>
    </x:row>
    <x:row r="188">
      <x:c r="A188" t="str">
        <x:v>4</x:v>
      </x:c>
      <x:c r="B188" t="str">
        <x:v>D01f120</x:v>
      </x:c>
      <x:c r="C188" t="str">
        <x:v>402-1</x:v>
      </x:c>
      <x:c r="D188" t="n">
        <x:v>2</x:v>
      </x:c>
      <x:c r="E188" s="21" t="n">
        <x:v>1</x:v>
      </x:c>
      <x:c r="F188"/>
      <x:c r="G188"/>
      <x:c r="H188"/>
    </x:row>
    <x:row r="189">
      <x:c r="A189"/>
      <x:c r="B189" t="str">
        <x:v>D01f120</x:v>
      </x:c>
      <x:c r="C189" t="str">
        <x:v>403-1</x:v>
      </x:c>
      <x:c r="D189" t="n">
        <x:v>2</x:v>
      </x:c>
      <x:c r="E189" s="21" t="n">
        <x:v>1</x:v>
      </x:c>
      <x:c r="F189"/>
      <x:c r="G189"/>
      <x:c r="H189"/>
    </x:row>
    <x:row r="190">
      <x:c r="A190"/>
      <x:c r="B190" t="str">
        <x:v>D01f120</x:v>
      </x:c>
      <x:c r="C190" t="str">
        <x:v>403-2</x:v>
      </x:c>
      <x:c r="D190" t="n">
        <x:v>2</x:v>
      </x:c>
      <x:c r="E190" s="21" t="n">
        <x:v>1</x:v>
      </x:c>
      <x:c r="F190"/>
      <x:c r="G190"/>
      <x:c r="H190"/>
    </x:row>
    <x:row r="191">
      <x:c r="A191"/>
      <x:c r="B191"/>
      <x:c r="C191"/>
      <x:c r="D191"/>
      <x:c r="E191" s="21"/>
      <x:c r="F191"/>
      <x:c r="G191"/>
      <x:c r="H191"/>
    </x:row>
    <x:row r="192">
      <x:c r="A192"/>
      <x:c r="B192" t="str">
        <x:v>D06</x:v>
      </x:c>
      <x:c r="C192" t="str">
        <x:v>405-1</x:v>
      </x:c>
      <x:c r="D192" t="n">
        <x:v>22</x:v>
      </x:c>
      <x:c r="E192" s="21" t="n">
        <x:v>1</x:v>
      </x:c>
      <x:c r="F192"/>
      <x:c r="G192"/>
      <x:c r="H192"/>
    </x:row>
    <x:row r="193">
      <x:c r="A193"/>
      <x:c r="B193" t="str">
        <x:v>D06</x:v>
      </x:c>
      <x:c r="C193" t="str">
        <x:v>405-2</x:v>
      </x:c>
      <x:c r="D193" t="n">
        <x:v>22</x:v>
      </x:c>
      <x:c r="E193" s="21" t="n">
        <x:v>1</x:v>
      </x:c>
      <x:c r="F193"/>
      <x:c r="G193"/>
      <x:c r="H193"/>
    </x:row>
    <x:row r="194">
      <x:c r="A194" s="2"/>
      <x:c r="B194" s="2"/>
      <x:c r="C194" s="2"/>
      <x:c r="D194" s="2"/>
      <x:c r="E194" s="22"/>
      <x:c r="F194" s="2"/>
      <x:c r="G194" s="2"/>
      <x:c r="H194" s="2"/>
    </x:row>
    <x:row r="195">
      <x:c r="A195" t="str">
        <x:v>4A</x:v>
      </x:c>
      <x:c r="B195" t="str">
        <x:v>D01f120</x:v>
      </x:c>
      <x:c r="C195" t="str">
        <x:v>4A02-1</x:v>
      </x:c>
      <x:c r="D195" t="n">
        <x:v>2</x:v>
      </x:c>
      <x:c r="E195" s="21" t="n">
        <x:v>1</x:v>
      </x:c>
      <x:c r="F195"/>
      <x:c r="G195"/>
      <x:c r="H195"/>
    </x:row>
    <x:row r="196">
      <x:c r="A196"/>
      <x:c r="B196" t="str">
        <x:v>D01f120</x:v>
      </x:c>
      <x:c r="C196" t="str">
        <x:v>4A03-1</x:v>
      </x:c>
      <x:c r="D196" t="n">
        <x:v>2</x:v>
      </x:c>
      <x:c r="E196" s="21" t="n">
        <x:v>1</x:v>
      </x:c>
      <x:c r="F196"/>
      <x:c r="G196"/>
      <x:c r="H196"/>
    </x:row>
    <x:row r="197">
      <x:c r="A197"/>
      <x:c r="B197" t="str">
        <x:v>D01f120</x:v>
      </x:c>
      <x:c r="C197" t="str">
        <x:v>4A03-2</x:v>
      </x:c>
      <x:c r="D197" t="n">
        <x:v>2</x:v>
      </x:c>
      <x:c r="E197" s="21" t="n">
        <x:v>1</x:v>
      </x:c>
      <x:c r="F197"/>
      <x:c r="G197"/>
      <x:c r="H197"/>
    </x:row>
    <x:row r="198">
      <x:c r="A198"/>
      <x:c r="B198"/>
      <x:c r="C198"/>
      <x:c r="D198"/>
      <x:c r="E198" s="21"/>
      <x:c r="F198"/>
      <x:c r="G198"/>
      <x:c r="H198"/>
    </x:row>
    <x:row r="199">
      <x:c r="A199"/>
      <x:c r="B199" t="str">
        <x:v>D06</x:v>
      </x:c>
      <x:c r="C199" t="str">
        <x:v>4A05-1</x:v>
      </x:c>
      <x:c r="D199" t="n">
        <x:v>22</x:v>
      </x:c>
      <x:c r="E199" s="21" t="n">
        <x:v>1</x:v>
      </x:c>
      <x:c r="F199"/>
      <x:c r="G199"/>
      <x:c r="H199"/>
    </x:row>
    <x:row r="200">
      <x:c r="A200"/>
      <x:c r="B200" t="str">
        <x:v>D06</x:v>
      </x:c>
      <x:c r="C200" t="str">
        <x:v>4A05-1</x:v>
      </x:c>
      <x:c r="D200" t="n">
        <x:v>22</x:v>
      </x:c>
      <x:c r="E200" s="21" t="n">
        <x:v>1</x:v>
      </x:c>
      <x:c r="F200"/>
      <x:c r="G200"/>
      <x:c r="H200"/>
    </x:row>
    <x:row r="201">
      <x:c r="A201" s="2"/>
      <x:c r="B201" s="2"/>
      <x:c r="C201" s="2"/>
      <x:c r="D201" s="2"/>
      <x:c r="E201" s="22"/>
      <x:c r="F201" s="2"/>
      <x:c r="G201" s="2"/>
      <x:c r="H201" s="2"/>
    </x:row>
    <x:row r="202">
      <x:c r="A202" t="str">
        <x:v>5</x:v>
      </x:c>
      <x:c r="B202" t="str">
        <x:v>D01f120</x:v>
      </x:c>
      <x:c r="C202" t="str">
        <x:v>502-1</x:v>
      </x:c>
      <x:c r="D202" t="n">
        <x:v>2</x:v>
      </x:c>
      <x:c r="E202" s="21" t="n">
        <x:v>1</x:v>
      </x:c>
      <x:c r="F202"/>
      <x:c r="G202"/>
      <x:c r="H202"/>
    </x:row>
    <x:row r="203">
      <x:c r="A203"/>
      <x:c r="B203" t="str">
        <x:v>D01f120</x:v>
      </x:c>
      <x:c r="C203" t="str">
        <x:v>503-1</x:v>
      </x:c>
      <x:c r="D203" t="n">
        <x:v>2</x:v>
      </x:c>
      <x:c r="E203" s="21" t="n">
        <x:v>1</x:v>
      </x:c>
      <x:c r="F203"/>
      <x:c r="G203"/>
      <x:c r="H203"/>
    </x:row>
    <x:row r="204">
      <x:c r="A204"/>
      <x:c r="B204" t="str">
        <x:v>D01f120</x:v>
      </x:c>
      <x:c r="C204" t="str">
        <x:v>503-2</x:v>
      </x:c>
      <x:c r="D204" t="n">
        <x:v>2</x:v>
      </x:c>
      <x:c r="E204" s="21" t="n">
        <x:v>1</x:v>
      </x:c>
      <x:c r="F204"/>
      <x:c r="G204"/>
      <x:c r="H204"/>
    </x:row>
    <x:row r="205">
      <x:c r="A205"/>
      <x:c r="B205"/>
      <x:c r="C205"/>
      <x:c r="D205"/>
      <x:c r="E205" s="21"/>
      <x:c r="F205"/>
      <x:c r="G205"/>
      <x:c r="H205"/>
    </x:row>
    <x:row r="206">
      <x:c r="A206"/>
      <x:c r="B206" t="str">
        <x:v>D06</x:v>
      </x:c>
      <x:c r="C206" t="str">
        <x:v>505-1</x:v>
      </x:c>
      <x:c r="D206" t="n">
        <x:v>22</x:v>
      </x:c>
      <x:c r="E206" s="21" t="n">
        <x:v>1</x:v>
      </x:c>
      <x:c r="F206"/>
      <x:c r="G206"/>
      <x:c r="H206"/>
    </x:row>
    <x:row r="207">
      <x:c r="A207"/>
      <x:c r="B207" t="str">
        <x:v>D06</x:v>
      </x:c>
      <x:c r="C207" t="str">
        <x:v>505-2</x:v>
      </x:c>
      <x:c r="D207" t="n">
        <x:v>22</x:v>
      </x:c>
      <x:c r="E207" s="21" t="n">
        <x:v>1</x:v>
      </x:c>
      <x:c r="F207"/>
      <x:c r="G207"/>
      <x:c r="H207"/>
    </x:row>
    <x:row r="208">
      <x:c r="A208"/>
      <x:c r="B208" t="str">
        <x:v>D06</x:v>
      </x:c>
      <x:c r="C208" t="str">
        <x:v>505-3</x:v>
      </x:c>
      <x:c r="D208" t="n">
        <x:v>22</x:v>
      </x:c>
      <x:c r="E208" s="21" t="n">
        <x:v>1</x:v>
      </x:c>
      <x:c r="F208"/>
      <x:c r="G208"/>
      <x:c r="H208"/>
    </x:row>
    <x:row r="209">
      <x:c r="A209"/>
      <x:c r="B209" t="str">
        <x:v>D06</x:v>
      </x:c>
      <x:c r="C209" t="str">
        <x:v>505-4</x:v>
      </x:c>
      <x:c r="D209" t="n">
        <x:v>22</x:v>
      </x:c>
      <x:c r="E209" s="21" t="n">
        <x:v>1</x:v>
      </x:c>
      <x:c r="F209"/>
      <x:c r="G209"/>
      <x:c r="H209"/>
    </x:row>
    <x:row r="210">
      <x:c r="A210" s="2"/>
      <x:c r="B210" s="2"/>
      <x:c r="C210" s="2"/>
      <x:c r="D210" s="2"/>
      <x:c r="E210" s="22"/>
      <x:c r="F210" s="2"/>
      <x:c r="G210" s="2"/>
      <x:c r="H210" s="2"/>
    </x:row>
    <x:row r="211">
      <x:c r="A211" t="str">
        <x:v>6</x:v>
      </x:c>
      <x:c r="B211" t="str">
        <x:v>D0.1</x:v>
      </x:c>
      <x:c r="C211" t="str">
        <x:v>606-2</x:v>
      </x:c>
      <x:c r="D211"/>
      <x:c r="E211" s="21" t="n">
        <x:v>1</x:v>
      </x:c>
      <x:c r="F211"/>
      <x:c r="G211"/>
      <x:c r="H211"/>
    </x:row>
    <x:row r="212">
      <x:c r="A212"/>
      <x:c r="B212" t="str">
        <x:v>D0.1</x:v>
      </x:c>
      <x:c r="C212" t="str">
        <x:v>608-1</x:v>
      </x:c>
      <x:c r="D212"/>
      <x:c r="E212" s="21" t="n">
        <x:v>1</x:v>
      </x:c>
      <x:c r="F212"/>
      <x:c r="G212"/>
      <x:c r="H212"/>
    </x:row>
    <x:row r="213">
      <x:c r="A213"/>
      <x:c r="B213" t="str">
        <x:v>D0.1</x:v>
      </x:c>
      <x:c r="C213" t="str">
        <x:v>608-2</x:v>
      </x:c>
      <x:c r="D213"/>
      <x:c r="E213" s="21" t="n">
        <x:v>1</x:v>
      </x:c>
      <x:c r="F213"/>
      <x:c r="G213"/>
      <x:c r="H213"/>
    </x:row>
    <x:row r="214">
      <x:c r="A214"/>
      <x:c r="B214" t="str">
        <x:v>D0.1</x:v>
      </x:c>
      <x:c r="C214" t="str">
        <x:v>608-3</x:v>
      </x:c>
      <x:c r="D214"/>
      <x:c r="E214" s="21" t="n">
        <x:v>1</x:v>
      </x:c>
      <x:c r="F214"/>
      <x:c r="G214"/>
      <x:c r="H214"/>
    </x:row>
    <x:row r="215">
      <x:c r="A215"/>
      <x:c r="B215" t="str">
        <x:v>D0.1</x:v>
      </x:c>
      <x:c r="C215" t="str">
        <x:v>610-4</x:v>
      </x:c>
      <x:c r="D215"/>
      <x:c r="E215" s="21" t="n">
        <x:v>1</x:v>
      </x:c>
      <x:c r="F215"/>
      <x:c r="G215"/>
      <x:c r="H215"/>
    </x:row>
    <x:row r="216">
      <x:c r="A216"/>
      <x:c r="B216" t="str">
        <x:v>D0.1</x:v>
      </x:c>
      <x:c r="C216" t="str">
        <x:v>610-5</x:v>
      </x:c>
      <x:c r="D216"/>
      <x:c r="E216" s="21" t="n">
        <x:v>1</x:v>
      </x:c>
      <x:c r="F216"/>
      <x:c r="G216"/>
      <x:c r="H216"/>
    </x:row>
    <x:row r="217">
      <x:c r="A217"/>
      <x:c r="B217" t="str">
        <x:v>D0.1</x:v>
      </x:c>
      <x:c r="C217" t="str">
        <x:v>610-6</x:v>
      </x:c>
      <x:c r="D217"/>
      <x:c r="E217" s="21" t="n">
        <x:v>1</x:v>
      </x:c>
      <x:c r="F217"/>
      <x:c r="G217"/>
      <x:c r="H217"/>
    </x:row>
    <x:row r="218">
      <x:c r="A218"/>
      <x:c r="B218" t="str">
        <x:v>D0.1</x:v>
      </x:c>
      <x:c r="C218" t="str">
        <x:v>610-7</x:v>
      </x:c>
      <x:c r="D218"/>
      <x:c r="E218" s="21" t="n">
        <x:v>1</x:v>
      </x:c>
      <x:c r="F218"/>
      <x:c r="G218"/>
      <x:c r="H218"/>
    </x:row>
    <x:row r="219">
      <x:c r="A219"/>
      <x:c r="B219" t="str">
        <x:v>D0.1</x:v>
      </x:c>
      <x:c r="C219" t="str">
        <x:v>618-1</x:v>
      </x:c>
      <x:c r="D219"/>
      <x:c r="E219" s="21" t="n">
        <x:v>1</x:v>
      </x:c>
      <x:c r="F219"/>
      <x:c r="G219"/>
      <x:c r="H219"/>
    </x:row>
    <x:row r="220">
      <x:c r="A220"/>
      <x:c r="B220" t="str">
        <x:v>D0.1</x:v>
      </x:c>
      <x:c r="C220" t="str">
        <x:v>618-2</x:v>
      </x:c>
      <x:c r="D220"/>
      <x:c r="E220" s="21" t="n">
        <x:v>1</x:v>
      </x:c>
      <x:c r="F220"/>
      <x:c r="G220"/>
      <x:c r="H220"/>
    </x:row>
    <x:row r="221">
      <x:c r="A221"/>
      <x:c r="B221" t="str">
        <x:v>D0.1</x:v>
      </x:c>
      <x:c r="C221" t="str">
        <x:v>T-601-1</x:v>
      </x:c>
      <x:c r="D221"/>
      <x:c r="E221" s="21" t="n">
        <x:v>1</x:v>
      </x:c>
      <x:c r="F221"/>
      <x:c r="G221"/>
      <x:c r="H221"/>
    </x:row>
    <x:row r="222">
      <x:c r="A222"/>
      <x:c r="B222" t="str">
        <x:v>D0.1</x:v>
      </x:c>
      <x:c r="C222" t="str">
        <x:v>T-601-2</x:v>
      </x:c>
      <x:c r="D222"/>
      <x:c r="E222" s="21" t="n">
        <x:v>1</x:v>
      </x:c>
      <x:c r="F222"/>
      <x:c r="G222"/>
      <x:c r="H222"/>
    </x:row>
    <x:row r="223">
      <x:c r="A223"/>
      <x:c r="B223" t="str">
        <x:v>D0.1</x:v>
      </x:c>
      <x:c r="C223" t="str">
        <x:v>T-603-1</x:v>
      </x:c>
      <x:c r="D223"/>
      <x:c r="E223" s="21" t="n">
        <x:v>1</x:v>
      </x:c>
      <x:c r="F223"/>
      <x:c r="G223"/>
      <x:c r="H223"/>
    </x:row>
    <x:row r="224">
      <x:c r="A224"/>
      <x:c r="B224"/>
      <x:c r="C224"/>
      <x:c r="D224"/>
      <x:c r="E224" s="21"/>
      <x:c r="F224"/>
      <x:c r="G224"/>
      <x:c r="H224"/>
    </x:row>
    <x:row r="225">
      <x:c r="A225"/>
      <x:c r="B225" t="str">
        <x:v>D0.2</x:v>
      </x:c>
      <x:c r="C225" t="str">
        <x:v>618-3</x:v>
      </x:c>
      <x:c r="D225"/>
      <x:c r="E225" s="21" t="n">
        <x:v>1</x:v>
      </x:c>
      <x:c r="F225"/>
      <x:c r="G225"/>
      <x:c r="H225"/>
    </x:row>
    <x:row r="226">
      <x:c r="A226"/>
      <x:c r="B226" t="str">
        <x:v>D0.2</x:v>
      </x:c>
      <x:c r="C226" t="str">
        <x:v>619-2</x:v>
      </x:c>
      <x:c r="D226"/>
      <x:c r="E226" s="21" t="n">
        <x:v>1</x:v>
      </x:c>
      <x:c r="F226"/>
      <x:c r="G226"/>
      <x:c r="H226"/>
    </x:row>
    <x:row r="227">
      <x:c r="A227"/>
      <x:c r="B227"/>
      <x:c r="C227"/>
      <x:c r="D227"/>
      <x:c r="E227" s="21"/>
      <x:c r="F227"/>
      <x:c r="G227"/>
      <x:c r="H227"/>
    </x:row>
    <x:row r="228">
      <x:c r="A228"/>
      <x:c r="B228" t="str">
        <x:v>D01f120</x:v>
      </x:c>
      <x:c r="C228" t="str">
        <x:v>604-1</x:v>
      </x:c>
      <x:c r="D228" t="n">
        <x:v>1</x:v>
      </x:c>
      <x:c r="E228" s="21" t="n">
        <x:v>1</x:v>
      </x:c>
      <x:c r="F228"/>
      <x:c r="G228"/>
      <x:c r="H228"/>
    </x:row>
    <x:row r="229">
      <x:c r="A229"/>
      <x:c r="B229" t="str">
        <x:v>D01f120</x:v>
      </x:c>
      <x:c r="C229" t="str">
        <x:v>605-1</x:v>
      </x:c>
      <x:c r="D229" t="n">
        <x:v>1</x:v>
      </x:c>
      <x:c r="E229" s="21" t="n">
        <x:v>1</x:v>
      </x:c>
      <x:c r="F229"/>
      <x:c r="G229"/>
      <x:c r="H229"/>
    </x:row>
    <x:row r="230">
      <x:c r="A230"/>
      <x:c r="B230"/>
      <x:c r="C230"/>
      <x:c r="D230"/>
      <x:c r="E230" s="21"/>
      <x:c r="F230"/>
      <x:c r="G230"/>
      <x:c r="H230"/>
    </x:row>
    <x:row r="231">
      <x:c r="A231"/>
      <x:c r="B231" t="str">
        <x:v>D03Af120</x:v>
      </x:c>
      <x:c r="C231" t="str">
        <x:v>602-1</x:v>
      </x:c>
      <x:c r="D231" t="n">
        <x:v>14</x:v>
      </x:c>
      <x:c r="E231" s="21" t="n">
        <x:v>1</x:v>
      </x:c>
      <x:c r="F231"/>
      <x:c r="G231"/>
      <x:c r="H231"/>
    </x:row>
    <x:row r="232">
      <x:c r="A232"/>
      <x:c r="B232" t="str">
        <x:v>D03Af120</x:v>
      </x:c>
      <x:c r="C232" t="str">
        <x:v>602-2</x:v>
      </x:c>
      <x:c r="D232" t="n">
        <x:v>14</x:v>
      </x:c>
      <x:c r="E232" s="21" t="n">
        <x:v>1</x:v>
      </x:c>
      <x:c r="F232"/>
      <x:c r="G232"/>
      <x:c r="H232"/>
    </x:row>
    <x:row r="233">
      <x:c r="A233"/>
      <x:c r="B233"/>
      <x:c r="C233"/>
      <x:c r="D233"/>
      <x:c r="E233" s="21"/>
      <x:c r="F233"/>
      <x:c r="G233"/>
      <x:c r="H233"/>
    </x:row>
    <x:row r="234">
      <x:c r="A234"/>
      <x:c r="B234" t="str">
        <x:v>D04</x:v>
      </x:c>
      <x:c r="C234" t="str">
        <x:v>613-1</x:v>
      </x:c>
      <x:c r="D234" t="n">
        <x:v>10</x:v>
      </x:c>
      <x:c r="E234" s="21" t="n">
        <x:v>1</x:v>
      </x:c>
      <x:c r="F234"/>
      <x:c r="G234"/>
      <x:c r="H234"/>
    </x:row>
    <x:row r="235">
      <x:c r="A235"/>
      <x:c r="B235"/>
      <x:c r="C235"/>
      <x:c r="D235"/>
      <x:c r="E235" s="21"/>
      <x:c r="F235"/>
      <x:c r="G235"/>
      <x:c r="H235"/>
    </x:row>
    <x:row r="236">
      <x:c r="A236"/>
      <x:c r="B236" t="str">
        <x:v>D04Af60</x:v>
      </x:c>
      <x:c r="C236" t="str">
        <x:v>619-1</x:v>
      </x:c>
      <x:c r="D236" t="n">
        <x:v>5</x:v>
      </x:c>
      <x:c r="E236" s="21" t="n">
        <x:v>1</x:v>
      </x:c>
      <x:c r="F236"/>
      <x:c r="G236"/>
      <x:c r="H236"/>
    </x:row>
    <x:row r="237">
      <x:c r="A237"/>
      <x:c r="B237" t="str">
        <x:v>D04Af60</x:v>
      </x:c>
      <x:c r="C237" t="str">
        <x:v>622-1</x:v>
      </x:c>
      <x:c r="D237" t="n">
        <x:v>5</x:v>
      </x:c>
      <x:c r="E237" s="21" t="n">
        <x:v>1</x:v>
      </x:c>
      <x:c r="F237"/>
      <x:c r="G237"/>
      <x:c r="H237"/>
    </x:row>
    <x:row r="238">
      <x:c r="A238"/>
      <x:c r="B238"/>
      <x:c r="C238"/>
      <x:c r="D238"/>
      <x:c r="E238" s="21"/>
      <x:c r="F238"/>
      <x:c r="G238"/>
      <x:c r="H238"/>
    </x:row>
    <x:row r="239">
      <x:c r="A239"/>
      <x:c r="B239" t="str">
        <x:v>D04Af120</x:v>
      </x:c>
      <x:c r="C239" t="str">
        <x:v>614-1</x:v>
      </x:c>
      <x:c r="D239" t="n">
        <x:v>5</x:v>
      </x:c>
      <x:c r="E239" s="21" t="n">
        <x:v>1</x:v>
      </x:c>
      <x:c r="F239"/>
      <x:c r="G239"/>
      <x:c r="H239"/>
    </x:row>
    <x:row r="240">
      <x:c r="A240"/>
      <x:c r="B240"/>
      <x:c r="C240"/>
      <x:c r="D240"/>
      <x:c r="E240" s="21"/>
      <x:c r="F240"/>
      <x:c r="G240"/>
      <x:c r="H240"/>
    </x:row>
    <x:row r="241">
      <x:c r="A241"/>
      <x:c r="B241" t="str">
        <x:v>D04A.1f120</x:v>
      </x:c>
      <x:c r="C241" t="str">
        <x:v>602-3</x:v>
      </x:c>
      <x:c r="D241" t="n">
        <x:v>5</x:v>
      </x:c>
      <x:c r="E241" s="21" t="n">
        <x:v>1</x:v>
      </x:c>
      <x:c r="F241"/>
      <x:c r="G241"/>
      <x:c r="H241"/>
    </x:row>
    <x:row r="242">
      <x:c r="A242"/>
      <x:c r="B242"/>
      <x:c r="C242"/>
      <x:c r="D242"/>
      <x:c r="E242" s="21"/>
      <x:c r="F242"/>
      <x:c r="G242"/>
      <x:c r="H242"/>
    </x:row>
    <x:row r="243">
      <x:c r="A243"/>
      <x:c r="B243" t="str">
        <x:v>D06</x:v>
      </x:c>
      <x:c r="C243" t="str">
        <x:v>610-1</x:v>
      </x:c>
      <x:c r="D243" t="n">
        <x:v>22</x:v>
      </x:c>
      <x:c r="E243" s="21" t="n">
        <x:v>1</x:v>
      </x:c>
      <x:c r="F243"/>
      <x:c r="G243"/>
      <x:c r="H243"/>
    </x:row>
    <x:row r="244">
      <x:c r="A244"/>
      <x:c r="B244" t="str">
        <x:v>D06</x:v>
      </x:c>
      <x:c r="C244" t="str">
        <x:v>610-2</x:v>
      </x:c>
      <x:c r="D244" t="n">
        <x:v>22</x:v>
      </x:c>
      <x:c r="E244" s="21" t="n">
        <x:v>1</x:v>
      </x:c>
      <x:c r="F244"/>
      <x:c r="G244"/>
      <x:c r="H244"/>
    </x:row>
    <x:row r="245">
      <x:c r="A245"/>
      <x:c r="B245" t="str">
        <x:v>D06</x:v>
      </x:c>
      <x:c r="C245" t="str">
        <x:v>610-3</x:v>
      </x:c>
      <x:c r="D245" t="n">
        <x:v>22</x:v>
      </x:c>
      <x:c r="E245" s="21" t="n">
        <x:v>1</x:v>
      </x:c>
      <x:c r="F245"/>
      <x:c r="G245"/>
      <x:c r="H245"/>
    </x:row>
    <x:row r="246">
      <x:c r="A246"/>
      <x:c r="B246"/>
      <x:c r="C246"/>
      <x:c r="D246"/>
      <x:c r="E246" s="21"/>
      <x:c r="F246"/>
      <x:c r="G246"/>
      <x:c r="H246"/>
    </x:row>
    <x:row r="247">
      <x:c r="A247"/>
      <x:c r="B247" t="str">
        <x:v>D08</x:v>
      </x:c>
      <x:c r="C247" t="str">
        <x:v>T-604-1</x:v>
      </x:c>
      <x:c r="D247" t="n">
        <x:v>12</x:v>
      </x:c>
      <x:c r="E247" s="21" t="n">
        <x:v>1</x:v>
      </x:c>
      <x:c r="F247"/>
      <x:c r="G247"/>
      <x:c r="H247"/>
    </x:row>
    <x:row r="248">
      <x:c r="A248"/>
      <x:c r="B248"/>
      <x:c r="C248"/>
      <x:c r="D248"/>
      <x:c r="E248" s="21"/>
      <x:c r="F248"/>
      <x:c r="G248"/>
      <x:c r="H248"/>
    </x:row>
    <x:row r="249">
      <x:c r="A249"/>
      <x:c r="B249" t="str">
        <x:v>D10</x:v>
      </x:c>
      <x:c r="C249" t="str">
        <x:v>T-602-1</x:v>
      </x:c>
      <x:c r="D249" t="n">
        <x:v>24</x:v>
      </x:c>
      <x:c r="E249" s="21" t="n">
        <x:v>1</x:v>
      </x:c>
      <x:c r="F249"/>
      <x:c r="G249"/>
      <x:c r="H249"/>
    </x:row>
    <x:row r="250">
      <x:c r="A250"/>
      <x:c r="B250"/>
      <x:c r="C250"/>
      <x:c r="D250"/>
      <x:c r="E250" s="21"/>
      <x:c r="F250"/>
      <x:c r="G250"/>
      <x:c r="H250"/>
    </x:row>
    <x:row r="251">
      <x:c r="A251"/>
      <x:c r="B251" t="str">
        <x:v>D13</x:v>
      </x:c>
      <x:c r="C251" t="str">
        <x:v>621-1</x:v>
      </x:c>
      <x:c r="D251" t="n">
        <x:v>15</x:v>
      </x:c>
      <x:c r="E251" s="21" t="n">
        <x:v>1</x:v>
      </x:c>
      <x:c r="F251"/>
      <x:c r="G251"/>
      <x:c r="H251"/>
    </x:row>
    <x:row r="252">
      <x:c r="A252" s="2"/>
      <x:c r="B252" s="2"/>
      <x:c r="C252" s="2"/>
      <x:c r="D252" s="2"/>
      <x:c r="E252" s="22"/>
      <x:c r="F252" s="2"/>
      <x:c r="G252" s="2"/>
      <x:c r="H252" s="2"/>
    </x:row>
    <x:row r="253">
      <x:c r="A253" t="str">
        <x:v>6A</x:v>
      </x:c>
      <x:c r="B253" t="str">
        <x:v>D0.2</x:v>
      </x:c>
      <x:c r="C253" t="str">
        <x:v>6A06-1</x:v>
      </x:c>
      <x:c r="D253"/>
      <x:c r="E253" s="21" t="n">
        <x:v>1</x:v>
      </x:c>
      <x:c r="F253"/>
      <x:c r="G253"/>
      <x:c r="H253"/>
    </x:row>
    <x:row r="254">
      <x:c r="A254"/>
      <x:c r="B254" t="str">
        <x:v>D0.2</x:v>
      </x:c>
      <x:c r="C254" t="str">
        <x:v>6A06-2</x:v>
      </x:c>
      <x:c r="D254"/>
      <x:c r="E254" s="21" t="n">
        <x:v>1</x:v>
      </x:c>
      <x:c r="F254"/>
      <x:c r="G254"/>
      <x:c r="H254"/>
    </x:row>
    <x:row r="255">
      <x:c r="A255"/>
      <x:c r="B255" t="str">
        <x:v>D0.2</x:v>
      </x:c>
      <x:c r="C255" t="str">
        <x:v>6A06-30</x:v>
      </x:c>
      <x:c r="D255"/>
      <x:c r="E255" s="21" t="n">
        <x:v>1</x:v>
      </x:c>
      <x:c r="F255"/>
      <x:c r="G255"/>
      <x:c r="H255"/>
    </x:row>
    <x:row r="256">
      <x:c r="A256"/>
      <x:c r="B256" t="str">
        <x:v>D0.2</x:v>
      </x:c>
      <x:c r="C256" t="str">
        <x:v>6A07-1</x:v>
      </x:c>
      <x:c r="D256"/>
      <x:c r="E256" s="21" t="n">
        <x:v>1</x:v>
      </x:c>
      <x:c r="F256"/>
      <x:c r="G256"/>
      <x:c r="H256"/>
    </x:row>
    <x:row r="257">
      <x:c r="A257"/>
      <x:c r="B257" t="str">
        <x:v>D0.2</x:v>
      </x:c>
      <x:c r="C257" t="str">
        <x:v>6A07-2</x:v>
      </x:c>
      <x:c r="D257"/>
      <x:c r="E257" s="21" t="n">
        <x:v>1</x:v>
      </x:c>
      <x:c r="F257"/>
      <x:c r="G257"/>
      <x:c r="H257"/>
    </x:row>
    <x:row r="258">
      <x:c r="A258"/>
      <x:c r="B258" t="str">
        <x:v>D0.2</x:v>
      </x:c>
      <x:c r="C258" t="str">
        <x:v>6A11-1</x:v>
      </x:c>
      <x:c r="D258"/>
      <x:c r="E258" s="21" t="n">
        <x:v>1</x:v>
      </x:c>
      <x:c r="F258"/>
      <x:c r="G258"/>
      <x:c r="H258"/>
    </x:row>
    <x:row r="259">
      <x:c r="A259"/>
      <x:c r="B259" t="str">
        <x:v>D0.2</x:v>
      </x:c>
      <x:c r="C259" t="str">
        <x:v>6A20-1</x:v>
      </x:c>
      <x:c r="D259"/>
      <x:c r="E259" s="21" t="n">
        <x:v>1</x:v>
      </x:c>
      <x:c r="F259"/>
      <x:c r="G259"/>
      <x:c r="H259"/>
    </x:row>
    <x:row r="260">
      <x:c r="A260"/>
      <x:c r="B260" t="str">
        <x:v>D0.2</x:v>
      </x:c>
      <x:c r="C260" t="str">
        <x:v>6A21-1</x:v>
      </x:c>
      <x:c r="D260"/>
      <x:c r="E260" s="21" t="n">
        <x:v>1</x:v>
      </x:c>
      <x:c r="F260"/>
      <x:c r="G260"/>
      <x:c r="H260"/>
    </x:row>
    <x:row r="261">
      <x:c r="A261"/>
      <x:c r="B261" t="str">
        <x:v>D0.2</x:v>
      </x:c>
      <x:c r="C261" t="str">
        <x:v>6A24-1</x:v>
      </x:c>
      <x:c r="D261"/>
      <x:c r="E261" s="21" t="n">
        <x:v>1</x:v>
      </x:c>
      <x:c r="F261"/>
      <x:c r="G261"/>
      <x:c r="H261"/>
    </x:row>
    <x:row r="262">
      <x:c r="A262"/>
      <x:c r="B262" t="str">
        <x:v>D0.2</x:v>
      </x:c>
      <x:c r="C262" t="str">
        <x:v>6A28-1</x:v>
      </x:c>
      <x:c r="D262"/>
      <x:c r="E262" s="21" t="n">
        <x:v>1</x:v>
      </x:c>
      <x:c r="F262"/>
      <x:c r="G262"/>
      <x:c r="H262"/>
    </x:row>
    <x:row r="263">
      <x:c r="A263"/>
      <x:c r="B263" t="str">
        <x:v>D0.2</x:v>
      </x:c>
      <x:c r="C263" t="str">
        <x:v>6A29-1</x:v>
      </x:c>
      <x:c r="D263"/>
      <x:c r="E263" s="21" t="n">
        <x:v>1</x:v>
      </x:c>
      <x:c r="F263"/>
      <x:c r="G263"/>
      <x:c r="H263"/>
    </x:row>
    <x:row r="264">
      <x:c r="A264"/>
      <x:c r="B264" t="str">
        <x:v>D0.2</x:v>
      </x:c>
      <x:c r="C264" t="str">
        <x:v>628-1</x:v>
      </x:c>
      <x:c r="D264"/>
      <x:c r="E264" s="21" t="n">
        <x:v>1</x:v>
      </x:c>
      <x:c r="F264"/>
      <x:c r="G264"/>
      <x:c r="H264"/>
    </x:row>
    <x:row r="265">
      <x:c r="A265"/>
      <x:c r="B265" t="str">
        <x:v>D0.2</x:v>
      </x:c>
      <x:c r="C265" t="str">
        <x:v>631-1</x:v>
      </x:c>
      <x:c r="D265"/>
      <x:c r="E265" s="21" t="n">
        <x:v>1</x:v>
      </x:c>
      <x:c r="F265"/>
      <x:c r="G265"/>
      <x:c r="H265"/>
    </x:row>
    <x:row r="266">
      <x:c r="A266"/>
      <x:c r="B266"/>
      <x:c r="C266"/>
      <x:c r="D266"/>
      <x:c r="E266" s="21"/>
      <x:c r="F266"/>
      <x:c r="G266"/>
      <x:c r="H266"/>
    </x:row>
    <x:row r="267">
      <x:c r="A267"/>
      <x:c r="B267" t="str">
        <x:v>D01f120</x:v>
      </x:c>
      <x:c r="C267" t="str">
        <x:v>6A02-1</x:v>
      </x:c>
      <x:c r="D267" t="n">
        <x:v>2</x:v>
      </x:c>
      <x:c r="E267" s="21" t="n">
        <x:v>1</x:v>
      </x:c>
      <x:c r="F267"/>
      <x:c r="G267"/>
      <x:c r="H267"/>
    </x:row>
    <x:row r="268">
      <x:c r="A268"/>
      <x:c r="B268" t="str">
        <x:v>D01f120</x:v>
      </x:c>
      <x:c r="C268" t="str">
        <x:v>6A09-8</x:v>
      </x:c>
      <x:c r="D268" t="n">
        <x:v>2</x:v>
      </x:c>
      <x:c r="E268" s="21" t="n">
        <x:v>1</x:v>
      </x:c>
      <x:c r="F268"/>
      <x:c r="G268"/>
      <x:c r="H268"/>
    </x:row>
    <x:row r="269">
      <x:c r="A269"/>
      <x:c r="B269"/>
      <x:c r="C269"/>
      <x:c r="D269"/>
      <x:c r="E269" s="21"/>
      <x:c r="F269"/>
      <x:c r="G269"/>
      <x:c r="H269"/>
    </x:row>
    <x:row r="270">
      <x:c r="A270"/>
      <x:c r="B270" t="str">
        <x:v>D02f120</x:v>
      </x:c>
      <x:c r="C270" t="str">
        <x:v>6A11-2</x:v>
      </x:c>
      <x:c r="D270" t="n">
        <x:v>16</x:v>
      </x:c>
      <x:c r="E270" s="21" t="n">
        <x:v>1</x:v>
      </x:c>
      <x:c r="F270"/>
      <x:c r="G270"/>
      <x:c r="H270"/>
    </x:row>
    <x:row r="271">
      <x:c r="A271"/>
      <x:c r="B271"/>
      <x:c r="C271"/>
      <x:c r="D271"/>
      <x:c r="E271" s="21"/>
      <x:c r="F271"/>
      <x:c r="G271"/>
      <x:c r="H271"/>
    </x:row>
    <x:row r="272">
      <x:c r="A272"/>
      <x:c r="B272" t="str">
        <x:v>D04</x:v>
      </x:c>
      <x:c r="C272" t="str">
        <x:v>6A09-6</x:v>
      </x:c>
      <x:c r="D272" t="n">
        <x:v>10</x:v>
      </x:c>
      <x:c r="E272" s="21" t="n">
        <x:v>1</x:v>
      </x:c>
      <x:c r="F272"/>
      <x:c r="G272"/>
      <x:c r="H272"/>
    </x:row>
    <x:row r="273">
      <x:c r="A273"/>
      <x:c r="B273" t="str">
        <x:v>D04</x:v>
      </x:c>
      <x:c r="C273" t="str">
        <x:v>6A09-7</x:v>
      </x:c>
      <x:c r="D273" t="n">
        <x:v>9</x:v>
      </x:c>
      <x:c r="E273" s="21" t="n">
        <x:v>1</x:v>
      </x:c>
      <x:c r="F273"/>
      <x:c r="G273"/>
      <x:c r="H273"/>
    </x:row>
    <x:row r="274">
      <x:c r="A274"/>
      <x:c r="B274"/>
      <x:c r="C274"/>
      <x:c r="D274"/>
      <x:c r="E274" s="21"/>
      <x:c r="F274"/>
      <x:c r="G274"/>
      <x:c r="H274"/>
    </x:row>
    <x:row r="275">
      <x:c r="A275"/>
      <x:c r="B275" t="str">
        <x:v>D04A</x:v>
      </x:c>
      <x:c r="C275" t="str">
        <x:v>6A05-1</x:v>
      </x:c>
      <x:c r="D275" t="n">
        <x:v>5</x:v>
      </x:c>
      <x:c r="E275" s="21" t="n">
        <x:v>1</x:v>
      </x:c>
      <x:c r="F275"/>
      <x:c r="G275"/>
      <x:c r="H275"/>
    </x:row>
    <x:row r="276">
      <x:c r="A276"/>
      <x:c r="B276"/>
      <x:c r="C276"/>
      <x:c r="D276"/>
      <x:c r="E276" s="21"/>
      <x:c r="F276"/>
      <x:c r="G276"/>
      <x:c r="H276"/>
    </x:row>
    <x:row r="277">
      <x:c r="A277"/>
      <x:c r="B277" t="str">
        <x:v>D04Af60</x:v>
      </x:c>
      <x:c r="C277" t="str">
        <x:v>6A18-1</x:v>
      </x:c>
      <x:c r="D277" t="n">
        <x:v>5</x:v>
      </x:c>
      <x:c r="E277" s="21" t="n">
        <x:v>1</x:v>
      </x:c>
      <x:c r="F277"/>
      <x:c r="G277"/>
      <x:c r="H277"/>
    </x:row>
    <x:row r="278">
      <x:c r="A278"/>
      <x:c r="B278" t="str">
        <x:v>D04Af60</x:v>
      </x:c>
      <x:c r="C278" t="str">
        <x:v>6A19-1</x:v>
      </x:c>
      <x:c r="D278" t="n">
        <x:v>5</x:v>
      </x:c>
      <x:c r="E278" s="21" t="n">
        <x:v>1</x:v>
      </x:c>
      <x:c r="F278"/>
      <x:c r="G278"/>
      <x:c r="H278"/>
    </x:row>
    <x:row r="279">
      <x:c r="A279"/>
      <x:c r="B279" t="str">
        <x:v>D04Af60</x:v>
      </x:c>
      <x:c r="C279" t="str">
        <x:v>6A22-1</x:v>
      </x:c>
      <x:c r="D279" t="n">
        <x:v>5</x:v>
      </x:c>
      <x:c r="E279" s="21" t="n">
        <x:v>1</x:v>
      </x:c>
      <x:c r="F279"/>
      <x:c r="G279"/>
      <x:c r="H279"/>
    </x:row>
    <x:row r="280">
      <x:c r="A280"/>
      <x:c r="B280" t="str">
        <x:v>D04Af60</x:v>
      </x:c>
      <x:c r="C280" t="str">
        <x:v>6A27-1</x:v>
      </x:c>
      <x:c r="D280" t="n">
        <x:v>5</x:v>
      </x:c>
      <x:c r="E280" s="21" t="n">
        <x:v>1</x:v>
      </x:c>
      <x:c r="F280"/>
      <x:c r="G280"/>
      <x:c r="H280"/>
    </x:row>
    <x:row r="281">
      <x:c r="A281"/>
      <x:c r="B281"/>
      <x:c r="C281"/>
      <x:c r="D281"/>
      <x:c r="E281" s="21"/>
      <x:c r="F281"/>
      <x:c r="G281"/>
      <x:c r="H281"/>
    </x:row>
    <x:row r="282">
      <x:c r="A282"/>
      <x:c r="B282" t="str">
        <x:v>D06</x:v>
      </x:c>
      <x:c r="C282" t="str">
        <x:v>6A09-3</x:v>
      </x:c>
      <x:c r="D282" t="n">
        <x:v>22</x:v>
      </x:c>
      <x:c r="E282" s="21" t="n">
        <x:v>1</x:v>
      </x:c>
      <x:c r="F282"/>
      <x:c r="G282"/>
      <x:c r="H282"/>
    </x:row>
    <x:row r="283">
      <x:c r="A283"/>
      <x:c r="B283" t="str">
        <x:v>D06</x:v>
      </x:c>
      <x:c r="C283" t="str">
        <x:v>6A09-4</x:v>
      </x:c>
      <x:c r="D283" t="n">
        <x:v>22</x:v>
      </x:c>
      <x:c r="E283" s="21" t="n">
        <x:v>1</x:v>
      </x:c>
      <x:c r="F283"/>
      <x:c r="G283"/>
      <x:c r="H283"/>
    </x:row>
    <x:row r="284">
      <x:c r="A284"/>
      <x:c r="B284" t="str">
        <x:v>D06</x:v>
      </x:c>
      <x:c r="C284" t="str">
        <x:v>6A09-5</x:v>
      </x:c>
      <x:c r="D284" t="n">
        <x:v>22</x:v>
      </x:c>
      <x:c r="E284" s="21" t="n">
        <x:v>1</x:v>
      </x:c>
      <x:c r="F284"/>
      <x:c r="G284"/>
      <x:c r="H284"/>
    </x:row>
    <x:row r="285">
      <x:c r="A285"/>
      <x:c r="B285"/>
      <x:c r="C285"/>
      <x:c r="D285"/>
      <x:c r="E285" s="21"/>
      <x:c r="F285"/>
      <x:c r="G285"/>
      <x:c r="H285"/>
    </x:row>
    <x:row r="286">
      <x:c r="A286"/>
      <x:c r="B286" t="str">
        <x:v>D13f60</x:v>
      </x:c>
      <x:c r="C286" t="str">
        <x:v>6A01-1</x:v>
      </x:c>
      <x:c r="D286" t="n">
        <x:v>17</x:v>
      </x:c>
      <x:c r="E286" s="21" t="n">
        <x:v>1</x:v>
      </x:c>
      <x:c r="F286"/>
      <x:c r="G286"/>
      <x:c r="H286"/>
    </x:row>
    <x:row r="287">
      <x:c r="A287"/>
      <x:c r="B287" t="str">
        <x:v>D13f60</x:v>
      </x:c>
      <x:c r="C287" t="str">
        <x:v>6A01-2</x:v>
      </x:c>
      <x:c r="D287" t="n">
        <x:v>17</x:v>
      </x:c>
      <x:c r="E287" s="21" t="n">
        <x:v>1</x:v>
      </x:c>
      <x:c r="F287"/>
      <x:c r="G287"/>
      <x:c r="H287"/>
    </x:row>
    <x:row r="288">
      <x:c r="A288"/>
      <x:c r="B288" t="str">
        <x:v>D13f60</x:v>
      </x:c>
      <x:c r="C288" t="str">
        <x:v>6A04-1</x:v>
      </x:c>
      <x:c r="D288" t="n">
        <x:v>17</x:v>
      </x:c>
      <x:c r="E288" s="21" t="n">
        <x:v>1</x:v>
      </x:c>
      <x:c r="F288"/>
      <x:c r="G288"/>
      <x:c r="H288"/>
    </x:row>
    <x:row r="289">
      <x:c r="A289"/>
      <x:c r="B289" t="str">
        <x:v>D13f60</x:v>
      </x:c>
      <x:c r="C289" t="str">
        <x:v>6A09-2</x:v>
      </x:c>
      <x:c r="D289" t="n">
        <x:v>15</x:v>
      </x:c>
      <x:c r="E289" s="21" t="n">
        <x:v>1</x:v>
      </x:c>
      <x:c r="F289"/>
      <x:c r="G289"/>
      <x:c r="H289"/>
    </x:row>
    <x:row r="290">
      <x:c r="A290"/>
      <x:c r="B290" t="str">
        <x:v>D13f60</x:v>
      </x:c>
      <x:c r="C290" t="str">
        <x:v>6A15-1</x:v>
      </x:c>
      <x:c r="D290" t="n">
        <x:v>15</x:v>
      </x:c>
      <x:c r="E290" s="21" t="n">
        <x:v>1</x:v>
      </x:c>
      <x:c r="F290"/>
      <x:c r="G290"/>
      <x:c r="H290"/>
    </x:row>
    <x:row r="291">
      <x:c r="A291"/>
      <x:c r="B291" t="str">
        <x:v>D13f60</x:v>
      </x:c>
      <x:c r="C291" t="str">
        <x:v>6A25-1</x:v>
      </x:c>
      <x:c r="D291" t="n">
        <x:v>15</x:v>
      </x:c>
      <x:c r="E291" s="21" t="n">
        <x:v>1</x:v>
      </x:c>
      <x:c r="F291"/>
      <x:c r="G291"/>
      <x:c r="H291"/>
    </x:row>
    <x:row r="292">
      <x:c r="A292"/>
      <x:c r="B292" t="str">
        <x:v>D13f60</x:v>
      </x:c>
      <x:c r="C292" t="str">
        <x:v>6A26-1</x:v>
      </x:c>
      <x:c r="D292" t="n">
        <x:v>15</x:v>
      </x:c>
      <x:c r="E292" s="21" t="n">
        <x:v>1</x:v>
      </x:c>
      <x:c r="F292"/>
      <x:c r="G292"/>
      <x:c r="H292"/>
    </x:row>
    <x:row r="293">
      <x:c r="A293" s="2"/>
      <x:c r="B293" s="2"/>
      <x:c r="C293" s="2"/>
      <x:c r="D293" s="2"/>
      <x:c r="E293" s="22"/>
      <x:c r="F293" s="2"/>
      <x:c r="G293" s="2"/>
      <x:c r="H293" s="2"/>
    </x:row>
    <x:row r="294">
      <x:c r="A294" t="str">
        <x:v>7</x:v>
      </x:c>
      <x:c r="B294" t="str">
        <x:v>D0.2</x:v>
      </x:c>
      <x:c r="C294" t="str">
        <x:v>723-1</x:v>
      </x:c>
      <x:c r="D294"/>
      <x:c r="E294" s="21" t="n">
        <x:v>1</x:v>
      </x:c>
      <x:c r="F294"/>
      <x:c r="G294"/>
      <x:c r="H294"/>
    </x:row>
    <x:row r="295">
      <x:c r="A295"/>
      <x:c r="B295"/>
      <x:c r="C295"/>
      <x:c r="D295"/>
      <x:c r="E295" s="21"/>
      <x:c r="F295"/>
      <x:c r="G295"/>
      <x:c r="H295"/>
    </x:row>
    <x:row r="296">
      <x:c r="A296"/>
      <x:c r="B296" t="str">
        <x:v>D01f120</x:v>
      </x:c>
      <x:c r="C296" t="str">
        <x:v>703-1</x:v>
      </x:c>
      <x:c r="D296" t="n">
        <x:v>2</x:v>
      </x:c>
      <x:c r="E296" s="21" t="n">
        <x:v>1</x:v>
      </x:c>
      <x:c r="F296"/>
      <x:c r="G296"/>
      <x:c r="H296"/>
    </x:row>
    <x:row r="297">
      <x:c r="A297"/>
      <x:c r="B297" t="str">
        <x:v>D01f120</x:v>
      </x:c>
      <x:c r="C297" t="str">
        <x:v>704-1</x:v>
      </x:c>
      <x:c r="D297" t="n">
        <x:v>2</x:v>
      </x:c>
      <x:c r="E297" s="21" t="n">
        <x:v>1</x:v>
      </x:c>
      <x:c r="F297"/>
      <x:c r="G297"/>
      <x:c r="H297"/>
    </x:row>
    <x:row r="298">
      <x:c r="A298"/>
      <x:c r="B298"/>
      <x:c r="C298"/>
      <x:c r="D298"/>
      <x:c r="E298" s="21"/>
      <x:c r="F298"/>
      <x:c r="G298"/>
      <x:c r="H298"/>
    </x:row>
    <x:row r="299">
      <x:c r="A299"/>
      <x:c r="B299" t="str">
        <x:v>D02f120</x:v>
      </x:c>
      <x:c r="C299" t="str">
        <x:v>706-1</x:v>
      </x:c>
      <x:c r="D299" t="n">
        <x:v>18</x:v>
      </x:c>
      <x:c r="E299" s="21" t="n">
        <x:v>1</x:v>
      </x:c>
      <x:c r="F299"/>
      <x:c r="G299"/>
      <x:c r="H299"/>
    </x:row>
    <x:row r="300">
      <x:c r="A300"/>
      <x:c r="B300" t="str">
        <x:v>D02f120</x:v>
      </x:c>
      <x:c r="C300" t="str">
        <x:v>718-1</x:v>
      </x:c>
      <x:c r="D300" t="n">
        <x:v>18</x:v>
      </x:c>
      <x:c r="E300" s="21" t="n">
        <x:v>1</x:v>
      </x:c>
      <x:c r="F300"/>
      <x:c r="G300"/>
      <x:c r="H300"/>
    </x:row>
    <x:row r="301">
      <x:c r="A301"/>
      <x:c r="B301"/>
      <x:c r="C301"/>
      <x:c r="D301"/>
      <x:c r="E301" s="21"/>
      <x:c r="F301"/>
      <x:c r="G301"/>
      <x:c r="H301"/>
    </x:row>
    <x:row r="302">
      <x:c r="A302"/>
      <x:c r="B302" t="str">
        <x:v>D03Af120</x:v>
      </x:c>
      <x:c r="C302" t="str">
        <x:v>702-1</x:v>
      </x:c>
      <x:c r="D302" t="n">
        <x:v>14</x:v>
      </x:c>
      <x:c r="E302" s="21" t="n">
        <x:v>1</x:v>
      </x:c>
      <x:c r="F302"/>
      <x:c r="G302"/>
      <x:c r="H302"/>
    </x:row>
    <x:row r="303">
      <x:c r="A303"/>
      <x:c r="B303" t="str">
        <x:v>D03Af120</x:v>
      </x:c>
      <x:c r="C303" t="str">
        <x:v>702-2</x:v>
      </x:c>
      <x:c r="D303" t="n">
        <x:v>14</x:v>
      </x:c>
      <x:c r="E303" s="21" t="n">
        <x:v>1</x:v>
      </x:c>
      <x:c r="F303"/>
      <x:c r="G303"/>
      <x:c r="H303"/>
    </x:row>
    <x:row r="304">
      <x:c r="A304"/>
      <x:c r="B304"/>
      <x:c r="C304"/>
      <x:c r="D304"/>
      <x:c r="E304" s="21"/>
      <x:c r="F304"/>
      <x:c r="G304"/>
      <x:c r="H304"/>
    </x:row>
    <x:row r="305">
      <x:c r="A305"/>
      <x:c r="B305" t="str">
        <x:v>D04</x:v>
      </x:c>
      <x:c r="C305" t="str">
        <x:v>701-5</x:v>
      </x:c>
      <x:c r="D305" t="n">
        <x:v>8</x:v>
      </x:c>
      <x:c r="E305" s="21" t="n">
        <x:v>1</x:v>
      </x:c>
      <x:c r="F305"/>
      <x:c r="G305"/>
      <x:c r="H305"/>
    </x:row>
    <x:row r="306">
      <x:c r="A306"/>
      <x:c r="B306" t="str">
        <x:v>D04</x:v>
      </x:c>
      <x:c r="C306" t="str">
        <x:v>721-1</x:v>
      </x:c>
      <x:c r="D306" t="n">
        <x:v>9</x:v>
      </x:c>
      <x:c r="E306" s="21" t="n">
        <x:v>1</x:v>
      </x:c>
      <x:c r="F306"/>
      <x:c r="G306"/>
      <x:c r="H306"/>
    </x:row>
    <x:row r="307">
      <x:c r="A307"/>
      <x:c r="B307"/>
      <x:c r="C307"/>
      <x:c r="D307"/>
      <x:c r="E307" s="21"/>
      <x:c r="F307"/>
      <x:c r="G307"/>
      <x:c r="H307"/>
    </x:row>
    <x:row r="308">
      <x:c r="A308"/>
      <x:c r="B308" t="str">
        <x:v>D04.1</x:v>
      </x:c>
      <x:c r="C308" t="str">
        <x:v>701-2</x:v>
      </x:c>
      <x:c r="D308" t="n">
        <x:v>5</x:v>
      </x:c>
      <x:c r="E308" s="21" t="n">
        <x:v>1</x:v>
      </x:c>
      <x:c r="F308"/>
      <x:c r="G308"/>
      <x:c r="H308"/>
    </x:row>
    <x:row r="309">
      <x:c r="A309"/>
      <x:c r="B309" t="str">
        <x:v>D04.1</x:v>
      </x:c>
      <x:c r="C309" t="str">
        <x:v>701-3</x:v>
      </x:c>
      <x:c r="D309" t="n">
        <x:v>5</x:v>
      </x:c>
      <x:c r="E309" s="21" t="n">
        <x:v>1</x:v>
      </x:c>
      <x:c r="F309"/>
      <x:c r="G309"/>
      <x:c r="H309"/>
    </x:row>
    <x:row r="310">
      <x:c r="A310"/>
      <x:c r="B310"/>
      <x:c r="C310"/>
      <x:c r="D310"/>
      <x:c r="E310" s="21"/>
      <x:c r="F310"/>
      <x:c r="G310"/>
      <x:c r="H310"/>
    </x:row>
    <x:row r="311">
      <x:c r="A311"/>
      <x:c r="B311" t="str">
        <x:v>D04A</x:v>
      </x:c>
      <x:c r="C311" t="str">
        <x:v>705-1</x:v>
      </x:c>
      <x:c r="D311" t="n">
        <x:v>13</x:v>
      </x:c>
      <x:c r="E311" s="21" t="n">
        <x:v>1</x:v>
      </x:c>
      <x:c r="F311"/>
      <x:c r="G311"/>
      <x:c r="H311"/>
    </x:row>
    <x:row r="312">
      <x:c r="A312"/>
      <x:c r="B312" t="str">
        <x:v>D04A</x:v>
      </x:c>
      <x:c r="C312" t="str">
        <x:v>711-1</x:v>
      </x:c>
      <x:c r="D312" t="n">
        <x:v>13</x:v>
      </x:c>
      <x:c r="E312" s="21" t="n">
        <x:v>1</x:v>
      </x:c>
      <x:c r="F312"/>
      <x:c r="G312"/>
      <x:c r="H312"/>
    </x:row>
    <x:row r="313">
      <x:c r="A313"/>
      <x:c r="B313" t="str">
        <x:v>D04A</x:v>
      </x:c>
      <x:c r="C313" t="str">
        <x:v>720-1</x:v>
      </x:c>
      <x:c r="D313" t="n">
        <x:v>5</x:v>
      </x:c>
      <x:c r="E313" s="21" t="n">
        <x:v>1</x:v>
      </x:c>
      <x:c r="F313"/>
      <x:c r="G313"/>
      <x:c r="H313"/>
    </x:row>
    <x:row r="314">
      <x:c r="A314"/>
      <x:c r="B314" t="str">
        <x:v>D04A</x:v>
      </x:c>
      <x:c r="C314" t="str">
        <x:v>722-1</x:v>
      </x:c>
      <x:c r="D314" t="n">
        <x:v>5</x:v>
      </x:c>
      <x:c r="E314" s="21" t="n">
        <x:v>1</x:v>
      </x:c>
      <x:c r="F314"/>
      <x:c r="G314"/>
      <x:c r="H314"/>
    </x:row>
    <x:row r="315">
      <x:c r="A315"/>
      <x:c r="B315" t="str">
        <x:v>D04A</x:v>
      </x:c>
      <x:c r="C315" t="str">
        <x:v>724-1</x:v>
      </x:c>
      <x:c r="D315" t="n">
        <x:v>5</x:v>
      </x:c>
      <x:c r="E315" s="21" t="n">
        <x:v>1</x:v>
      </x:c>
      <x:c r="F315"/>
      <x:c r="G315"/>
      <x:c r="H315"/>
    </x:row>
    <x:row r="316">
      <x:c r="A316"/>
      <x:c r="B316"/>
      <x:c r="C316"/>
      <x:c r="D316"/>
      <x:c r="E316" s="21"/>
      <x:c r="F316"/>
      <x:c r="G316"/>
      <x:c r="H316"/>
    </x:row>
    <x:row r="317">
      <x:c r="A317"/>
      <x:c r="B317" t="str">
        <x:v>D06</x:v>
      </x:c>
      <x:c r="C317" t="str">
        <x:v>709-1</x:v>
      </x:c>
      <x:c r="D317" t="n">
        <x:v>22</x:v>
      </x:c>
      <x:c r="E317" s="21" t="n">
        <x:v>1</x:v>
      </x:c>
      <x:c r="F317"/>
      <x:c r="G317"/>
      <x:c r="H317"/>
    </x:row>
    <x:row r="318">
      <x:c r="A318"/>
      <x:c r="B318" t="str">
        <x:v>D06</x:v>
      </x:c>
      <x:c r="C318" t="str">
        <x:v>709-2</x:v>
      </x:c>
      <x:c r="D318" t="n">
        <x:v>22</x:v>
      </x:c>
      <x:c r="E318" s="21" t="n">
        <x:v>1</x:v>
      </x:c>
      <x:c r="F318"/>
      <x:c r="G318"/>
      <x:c r="H318"/>
    </x:row>
    <x:row r="319">
      <x:c r="A319"/>
      <x:c r="B319" t="str">
        <x:v>D06</x:v>
      </x:c>
      <x:c r="C319" t="str">
        <x:v>723-2</x:v>
      </x:c>
      <x:c r="D319" t="n">
        <x:v>22</x:v>
      </x:c>
      <x:c r="E319" s="21" t="n">
        <x:v>1</x:v>
      </x:c>
      <x:c r="F319"/>
      <x:c r="G319"/>
      <x:c r="H319"/>
    </x:row>
    <x:row r="320">
      <x:c r="A320"/>
      <x:c r="B320"/>
      <x:c r="C320"/>
      <x:c r="D320"/>
      <x:c r="E320" s="21"/>
      <x:c r="F320"/>
      <x:c r="G320"/>
      <x:c r="H320"/>
    </x:row>
    <x:row r="321">
      <x:c r="A321"/>
      <x:c r="B321" t="str">
        <x:v>D08</x:v>
      </x:c>
      <x:c r="C321" t="str">
        <x:v>T-701-1</x:v>
      </x:c>
      <x:c r="D321" t="n">
        <x:v>4</x:v>
      </x:c>
      <x:c r="E321" s="21" t="n">
        <x:v>1</x:v>
      </x:c>
      <x:c r="F321"/>
      <x:c r="G321"/>
      <x:c r="H321"/>
    </x:row>
    <x:row r="322">
      <x:c r="A322"/>
      <x:c r="B322" t="str">
        <x:v>D08</x:v>
      </x:c>
      <x:c r="C322" t="str">
        <x:v>T-702-1</x:v>
      </x:c>
      <x:c r="D322" t="n">
        <x:v>4</x:v>
      </x:c>
      <x:c r="E322" s="21" t="n">
        <x:v>1</x:v>
      </x:c>
      <x:c r="F322"/>
      <x:c r="G322"/>
      <x:c r="H322"/>
    </x:row>
    <x:row r="323">
      <x:c r="A323"/>
      <x:c r="B323" t="str">
        <x:v>D08</x:v>
      </x:c>
      <x:c r="C323" t="str">
        <x:v>T-703-1</x:v>
      </x:c>
      <x:c r="D323" t="n">
        <x:v>12</x:v>
      </x:c>
      <x:c r="E323" s="21" t="n">
        <x:v>1</x:v>
      </x:c>
      <x:c r="F323"/>
      <x:c r="G323"/>
      <x:c r="H323"/>
    </x:row>
    <x:row r="324">
      <x:c r="A324"/>
      <x:c r="B324" t="str">
        <x:v>D08</x:v>
      </x:c>
      <x:c r="C324" t="str">
        <x:v>T-704-1</x:v>
      </x:c>
      <x:c r="D324" t="n">
        <x:v>12</x:v>
      </x:c>
      <x:c r="E324" s="21" t="n">
        <x:v>1</x:v>
      </x:c>
      <x:c r="F324"/>
      <x:c r="G324"/>
      <x:c r="H324"/>
    </x:row>
    <x:row r="325">
      <x:c r="A325"/>
      <x:c r="B325"/>
      <x:c r="C325"/>
      <x:c r="D325"/>
      <x:c r="E325" s="21"/>
      <x:c r="F325"/>
      <x:c r="G325"/>
      <x:c r="H325"/>
    </x:row>
    <x:row r="326">
      <x:c r="A326"/>
      <x:c r="B326" t="str">
        <x:v>D13f60</x:v>
      </x:c>
      <x:c r="C326" t="str">
        <x:v>701-1</x:v>
      </x:c>
      <x:c r="D326" t="n">
        <x:v>15</x:v>
      </x:c>
      <x:c r="E326" s="21" t="n">
        <x:v>1</x:v>
      </x:c>
      <x:c r="F326"/>
      <x:c r="G326"/>
      <x:c r="H326"/>
    </x:row>
    <x:row r="327">
      <x:c r="A327"/>
      <x:c r="B327"/>
      <x:c r="C327"/>
      <x:c r="D327"/>
      <x:c r="E327" s="21"/>
      <x:c r="F327"/>
      <x:c r="G327"/>
      <x:c r="H327"/>
    </x:row>
    <x:row r="328">
      <x:c r="A328"/>
      <x:c r="B328" t="str">
        <x:v>AD01</x:v>
      </x:c>
      <x:c r="C328" t="str">
        <x:v>707-1</x:v>
      </x:c>
      <x:c r="D328" t="n">
        <x:v>32</x:v>
      </x:c>
      <x:c r="E328" s="21" t="n">
        <x:v>1</x:v>
      </x:c>
      <x:c r="F328"/>
      <x:c r="G328"/>
      <x:c r="H328"/>
    </x:row>
    <x:row r="329">
      <x:c r="A329"/>
      <x:c r="B329" t="str">
        <x:v>AD01</x:v>
      </x:c>
      <x:c r="C329" t="str">
        <x:v>707-2</x:v>
      </x:c>
      <x:c r="D329" t="n">
        <x:v>31</x:v>
      </x:c>
      <x:c r="E329" s="21" t="n">
        <x:v>1</x:v>
      </x:c>
      <x:c r="F329"/>
      <x:c r="G329"/>
      <x:c r="H329"/>
    </x:row>
    <x:row r="330">
      <x:c r="A330"/>
      <x:c r="B330" t="str">
        <x:v>AD01</x:v>
      </x:c>
      <x:c r="C330" t="str">
        <x:v>708-1</x:v>
      </x:c>
      <x:c r="D330" t="n">
        <x:v>32</x:v>
      </x:c>
      <x:c r="E330" s="21" t="n">
        <x:v>1</x:v>
      </x:c>
      <x:c r="F330"/>
      <x:c r="G330"/>
      <x:c r="H330"/>
    </x:row>
    <x:row r="331">
      <x:c r="A331"/>
      <x:c r="B331" t="str">
        <x:v>AD01</x:v>
      </x:c>
      <x:c r="C331" t="str">
        <x:v>713-1</x:v>
      </x:c>
      <x:c r="D331" t="n">
        <x:v>32</x:v>
      </x:c>
      <x:c r="E331" s="21" t="n">
        <x:v>1</x:v>
      </x:c>
      <x:c r="F331"/>
      <x:c r="G331"/>
      <x:c r="H331"/>
    </x:row>
    <x:row r="332">
      <x:c r="A332"/>
      <x:c r="B332" t="str">
        <x:v>AD01</x:v>
      </x:c>
      <x:c r="C332" t="str">
        <x:v>713-2</x:v>
      </x:c>
      <x:c r="D332" t="n">
        <x:v>32</x:v>
      </x:c>
      <x:c r="E332" s="21" t="n">
        <x:v>1</x:v>
      </x:c>
      <x:c r="F332"/>
      <x:c r="G332"/>
      <x:c r="H332"/>
    </x:row>
    <x:row r="333">
      <x:c r="A333"/>
      <x:c r="B333" t="str">
        <x:v>AD01</x:v>
      </x:c>
      <x:c r="C333" t="str">
        <x:v>713-3</x:v>
      </x:c>
      <x:c r="D333" t="n">
        <x:v>32</x:v>
      </x:c>
      <x:c r="E333" s="21" t="n">
        <x:v>1</x:v>
      </x:c>
      <x:c r="F333"/>
      <x:c r="G333"/>
      <x:c r="H333"/>
    </x:row>
    <x:row r="334">
      <x:c r="A334"/>
      <x:c r="B334" t="str">
        <x:v>AD01</x:v>
      </x:c>
      <x:c r="C334" t="str">
        <x:v>713-4</x:v>
      </x:c>
      <x:c r="D334" t="n">
        <x:v>32</x:v>
      </x:c>
      <x:c r="E334" s="21" t="n">
        <x:v>1</x:v>
      </x:c>
      <x:c r="F334"/>
      <x:c r="G334"/>
      <x:c r="H334"/>
    </x:row>
    <x:row r="335">
      <x:c r="A335"/>
      <x:c r="B335" t="str">
        <x:v>AD01</x:v>
      </x:c>
      <x:c r="C335" t="str">
        <x:v>719-1</x:v>
      </x:c>
      <x:c r="D335" t="n">
        <x:v>31</x:v>
      </x:c>
      <x:c r="E335" s="21" t="n">
        <x:v>1</x:v>
      </x:c>
      <x:c r="F335"/>
      <x:c r="G335"/>
      <x:c r="H335"/>
    </x:row>
    <x:row r="336">
      <x:c r="A336"/>
      <x:c r="B336"/>
      <x:c r="C336"/>
      <x:c r="D336"/>
      <x:c r="E336" s="21"/>
      <x:c r="F336"/>
      <x:c r="G336"/>
      <x:c r="H336"/>
    </x:row>
    <x:row r="337">
      <x:c r="A337"/>
      <x:c r="B337" t="str">
        <x:v>AD03</x:v>
      </x:c>
      <x:c r="C337" t="str">
        <x:v>701-4</x:v>
      </x:c>
      <x:c r="D337" t="n">
        <x:v>33</x:v>
      </x:c>
      <x:c r="E337" s="21" t="n">
        <x:v>1</x:v>
      </x:c>
      <x:c r="F337"/>
      <x:c r="G337"/>
      <x:c r="H337"/>
    </x:row>
    <x:row r="338">
      <x:c r="A338" s="2"/>
      <x:c r="B338" s="2"/>
      <x:c r="C338" s="2"/>
      <x:c r="D338" s="2"/>
      <x:c r="E338" s="22"/>
      <x:c r="F338" s="2"/>
      <x:c r="G338" s="2"/>
      <x:c r="H338" s="2"/>
    </x:row>
    <x:row r="339">
      <x:c r="A339" t="str">
        <x:v>8</x:v>
      </x:c>
      <x:c r="B339" t="str">
        <x:v>D0.1</x:v>
      </x:c>
      <x:c r="C339" t="str">
        <x:v>801-1</x:v>
      </x:c>
      <x:c r="D339"/>
      <x:c r="E339" s="21" t="n">
        <x:v>1</x:v>
      </x:c>
      <x:c r="F339"/>
      <x:c r="G339"/>
      <x:c r="H339"/>
    </x:row>
    <x:row r="340">
      <x:c r="A340"/>
      <x:c r="B340" t="str">
        <x:v>D0.1</x:v>
      </x:c>
      <x:c r="C340" t="str">
        <x:v>809-1</x:v>
      </x:c>
      <x:c r="D340"/>
      <x:c r="E340" s="21" t="n">
        <x:v>1</x:v>
      </x:c>
      <x:c r="F340"/>
      <x:c r="G340"/>
      <x:c r="H340"/>
    </x:row>
    <x:row r="341">
      <x:c r="A341"/>
      <x:c r="B341" t="str">
        <x:v>D0.1</x:v>
      </x:c>
      <x:c r="C341" t="str">
        <x:v>810-1</x:v>
      </x:c>
      <x:c r="D341"/>
      <x:c r="E341" s="21" t="n">
        <x:v>1</x:v>
      </x:c>
      <x:c r="F341"/>
      <x:c r="G341"/>
      <x:c r="H341"/>
    </x:row>
    <x:row r="342">
      <x:c r="A342"/>
      <x:c r="B342" t="str">
        <x:v>D0.1</x:v>
      </x:c>
      <x:c r="C342" t="str">
        <x:v>810-2</x:v>
      </x:c>
      <x:c r="D342"/>
      <x:c r="E342" s="21" t="n">
        <x:v>1</x:v>
      </x:c>
      <x:c r="F342"/>
      <x:c r="G342"/>
      <x:c r="H342"/>
    </x:row>
    <x:row r="343">
      <x:c r="A343"/>
      <x:c r="B343" t="str">
        <x:v>D0.1</x:v>
      </x:c>
      <x:c r="C343" t="str">
        <x:v>811-1</x:v>
      </x:c>
      <x:c r="D343"/>
      <x:c r="E343" s="21" t="n">
        <x:v>1</x:v>
      </x:c>
      <x:c r="F343"/>
      <x:c r="G343"/>
      <x:c r="H343"/>
    </x:row>
    <x:row r="344">
      <x:c r="A344"/>
      <x:c r="B344" t="str">
        <x:v>D0.1</x:v>
      </x:c>
      <x:c r="C344" t="str">
        <x:v>812-1</x:v>
      </x:c>
      <x:c r="D344"/>
      <x:c r="E344" s="21" t="n">
        <x:v>1</x:v>
      </x:c>
      <x:c r="F344"/>
      <x:c r="G344"/>
      <x:c r="H344"/>
    </x:row>
    <x:row r="345">
      <x:c r="A345"/>
      <x:c r="B345" t="str">
        <x:v>D0.1</x:v>
      </x:c>
      <x:c r="C345" t="str">
        <x:v>813-1</x:v>
      </x:c>
      <x:c r="D345"/>
      <x:c r="E345" s="21" t="n">
        <x:v>1</x:v>
      </x:c>
      <x:c r="F345"/>
      <x:c r="G345"/>
      <x:c r="H345"/>
    </x:row>
    <x:row r="346">
      <x:c r="A346"/>
      <x:c r="B346" t="str">
        <x:v>D0.1</x:v>
      </x:c>
      <x:c r="C346" t="str">
        <x:v>814-1</x:v>
      </x:c>
      <x:c r="D346"/>
      <x:c r="E346" s="21" t="n">
        <x:v>1</x:v>
      </x:c>
      <x:c r="F346"/>
      <x:c r="G346"/>
      <x:c r="H346"/>
    </x:row>
    <x:row r="347">
      <x:c r="A347"/>
      <x:c r="B347" t="str">
        <x:v>D0.1</x:v>
      </x:c>
      <x:c r="C347" t="str">
        <x:v>814-2</x:v>
      </x:c>
      <x:c r="D347"/>
      <x:c r="E347" s="21" t="n">
        <x:v>1</x:v>
      </x:c>
      <x:c r="F347"/>
      <x:c r="G347"/>
      <x:c r="H347"/>
    </x:row>
    <x:row r="348">
      <x:c r="A348"/>
      <x:c r="B348" t="str">
        <x:v>D0.1</x:v>
      </x:c>
      <x:c r="C348" t="str">
        <x:v>815-1</x:v>
      </x:c>
      <x:c r="D348"/>
      <x:c r="E348" s="21" t="n">
        <x:v>1</x:v>
      </x:c>
      <x:c r="F348"/>
      <x:c r="G348"/>
      <x:c r="H348"/>
    </x:row>
    <x:row r="349">
      <x:c r="A349"/>
      <x:c r="B349" t="str">
        <x:v>D0.1</x:v>
      </x:c>
      <x:c r="C349" t="str">
        <x:v>816-1</x:v>
      </x:c>
      <x:c r="D349"/>
      <x:c r="E349" s="21" t="n">
        <x:v>1</x:v>
      </x:c>
      <x:c r="F349"/>
      <x:c r="G349"/>
      <x:c r="H349"/>
    </x:row>
    <x:row r="350">
      <x:c r="A350"/>
      <x:c r="B350" t="str">
        <x:v>D0.1</x:v>
      </x:c>
      <x:c r="C350" t="str">
        <x:v>817-1</x:v>
      </x:c>
      <x:c r="D350"/>
      <x:c r="E350" s="21" t="n">
        <x:v>1</x:v>
      </x:c>
      <x:c r="F350"/>
      <x:c r="G350"/>
      <x:c r="H350"/>
    </x:row>
    <x:row r="351">
      <x:c r="A351"/>
      <x:c r="B351" t="str">
        <x:v>D0.1</x:v>
      </x:c>
      <x:c r="C351" t="str">
        <x:v>818-1</x:v>
      </x:c>
      <x:c r="D351"/>
      <x:c r="E351" s="21" t="n">
        <x:v>1</x:v>
      </x:c>
      <x:c r="F351"/>
      <x:c r="G351"/>
      <x:c r="H351"/>
    </x:row>
    <x:row r="352">
      <x:c r="A352"/>
      <x:c r="B352" t="str">
        <x:v>D0.1</x:v>
      </x:c>
      <x:c r="C352" t="str">
        <x:v>819-1</x:v>
      </x:c>
      <x:c r="D352"/>
      <x:c r="E352" s="21" t="n">
        <x:v>1</x:v>
      </x:c>
      <x:c r="F352"/>
      <x:c r="G352"/>
      <x:c r="H352"/>
    </x:row>
    <x:row r="353">
      <x:c r="A353"/>
      <x:c r="B353" t="str">
        <x:v>D0.1</x:v>
      </x:c>
      <x:c r="C353" t="str">
        <x:v>819-2</x:v>
      </x:c>
      <x:c r="D353"/>
      <x:c r="E353" s="21" t="n">
        <x:v>1</x:v>
      </x:c>
      <x:c r="F353"/>
      <x:c r="G353"/>
      <x:c r="H353"/>
    </x:row>
    <x:row r="354">
      <x:c r="A354"/>
      <x:c r="B354" t="str">
        <x:v>D0.1</x:v>
      </x:c>
      <x:c r="C354" t="str">
        <x:v>821-1</x:v>
      </x:c>
      <x:c r="D354"/>
      <x:c r="E354" s="21" t="n">
        <x:v>1</x:v>
      </x:c>
      <x:c r="F354"/>
      <x:c r="G354"/>
      <x:c r="H354"/>
    </x:row>
    <x:row r="355">
      <x:c r="A355"/>
      <x:c r="B355" t="str">
        <x:v>D0.1</x:v>
      </x:c>
      <x:c r="C355" t="str">
        <x:v>821-1</x:v>
      </x:c>
      <x:c r="D355"/>
      <x:c r="E355" s="21" t="n">
        <x:v>1</x:v>
      </x:c>
      <x:c r="F355"/>
      <x:c r="G355"/>
      <x:c r="H355"/>
    </x:row>
    <x:row r="356">
      <x:c r="A356"/>
      <x:c r="B356" t="str">
        <x:v>D0.1</x:v>
      </x:c>
      <x:c r="C356" t="str">
        <x:v>823-1</x:v>
      </x:c>
      <x:c r="D356"/>
      <x:c r="E356" s="21" t="n">
        <x:v>1</x:v>
      </x:c>
      <x:c r="F356"/>
      <x:c r="G356"/>
      <x:c r="H356"/>
    </x:row>
    <x:row r="357">
      <x:c r="A357"/>
      <x:c r="B357" t="str">
        <x:v>D0.1</x:v>
      </x:c>
      <x:c r="C357" t="str">
        <x:v>823-1</x:v>
      </x:c>
      <x:c r="D357"/>
      <x:c r="E357" s="21" t="n">
        <x:v>1</x:v>
      </x:c>
      <x:c r="F357"/>
      <x:c r="G357"/>
      <x:c r="H357"/>
    </x:row>
    <x:row r="358">
      <x:c r="A358"/>
      <x:c r="B358"/>
      <x:c r="C358"/>
      <x:c r="D358"/>
      <x:c r="E358" s="21"/>
      <x:c r="F358"/>
      <x:c r="G358"/>
      <x:c r="H358"/>
    </x:row>
    <x:row r="359">
      <x:c r="A359"/>
      <x:c r="B359" t="str">
        <x:v>D01</x:v>
      </x:c>
      <x:c r="C359" t="str">
        <x:v>806-2</x:v>
      </x:c>
      <x:c r="D359" t="n">
        <x:v>8</x:v>
      </x:c>
      <x:c r="E359" s="21" t="n">
        <x:v>1</x:v>
      </x:c>
      <x:c r="F359"/>
      <x:c r="G359"/>
      <x:c r="H359"/>
    </x:row>
    <x:row r="360">
      <x:c r="A360"/>
      <x:c r="B360"/>
      <x:c r="C360"/>
      <x:c r="D360"/>
      <x:c r="E360" s="21"/>
      <x:c r="F360"/>
      <x:c r="G360"/>
      <x:c r="H360"/>
    </x:row>
    <x:row r="361">
      <x:c r="A361"/>
      <x:c r="B361" t="str">
        <x:v>D01f60</x:v>
      </x:c>
      <x:c r="C361" t="str">
        <x:v>805-2</x:v>
      </x:c>
      <x:c r="D361" t="n">
        <x:v>10</x:v>
      </x:c>
      <x:c r="E361" s="21" t="n">
        <x:v>1</x:v>
      </x:c>
      <x:c r="F361"/>
      <x:c r="G361"/>
      <x:c r="H361"/>
    </x:row>
    <x:row r="362">
      <x:c r="A362"/>
      <x:c r="B362"/>
      <x:c r="C362"/>
      <x:c r="D362"/>
      <x:c r="E362" s="21"/>
      <x:c r="F362"/>
      <x:c r="G362"/>
      <x:c r="H362"/>
    </x:row>
    <x:row r="363">
      <x:c r="A363"/>
      <x:c r="B363" t="str">
        <x:v>D01f120</x:v>
      </x:c>
      <x:c r="C363" t="str">
        <x:v>803-1</x:v>
      </x:c>
      <x:c r="D363" t="n">
        <x:v>1</x:v>
      </x:c>
      <x:c r="E363" s="21" t="n">
        <x:v>1</x:v>
      </x:c>
      <x:c r="F363"/>
      <x:c r="G363"/>
      <x:c r="H363"/>
    </x:row>
    <x:row r="364">
      <x:c r="A364"/>
      <x:c r="B364" t="str">
        <x:v>D01f120</x:v>
      </x:c>
      <x:c r="C364" t="str">
        <x:v>804-1</x:v>
      </x:c>
      <x:c r="D364" t="n">
        <x:v>1</x:v>
      </x:c>
      <x:c r="E364" s="21" t="n">
        <x:v>1</x:v>
      </x:c>
      <x:c r="F364"/>
      <x:c r="G364"/>
      <x:c r="H364"/>
    </x:row>
    <x:row r="365">
      <x:c r="A365"/>
      <x:c r="B365"/>
      <x:c r="C365"/>
      <x:c r="D365"/>
      <x:c r="E365" s="21"/>
      <x:c r="F365"/>
      <x:c r="G365"/>
      <x:c r="H365"/>
    </x:row>
    <x:row r="366">
      <x:c r="A366"/>
      <x:c r="B366" t="str">
        <x:v>D02f120</x:v>
      </x:c>
      <x:c r="C366" t="str">
        <x:v>802-2</x:v>
      </x:c>
      <x:c r="D366" t="n">
        <x:v>16</x:v>
      </x:c>
      <x:c r="E366" s="21" t="n">
        <x:v>1</x:v>
      </x:c>
      <x:c r="F366"/>
      <x:c r="G366"/>
      <x:c r="H366"/>
    </x:row>
    <x:row r="367">
      <x:c r="A367"/>
      <x:c r="B367"/>
      <x:c r="C367"/>
      <x:c r="D367"/>
      <x:c r="E367" s="21"/>
      <x:c r="F367"/>
      <x:c r="G367"/>
      <x:c r="H367"/>
    </x:row>
    <x:row r="368">
      <x:c r="A368"/>
      <x:c r="B368" t="str">
        <x:v>D04.2</x:v>
      </x:c>
      <x:c r="C368" t="str">
        <x:v>807-1</x:v>
      </x:c>
      <x:c r="D368" t="n">
        <x:v>10</x:v>
      </x:c>
      <x:c r="E368" s="21" t="n">
        <x:v>1</x:v>
      </x:c>
      <x:c r="F368"/>
      <x:c r="G368"/>
      <x:c r="H368"/>
    </x:row>
    <x:row r="369">
      <x:c r="A369"/>
      <x:c r="B369"/>
      <x:c r="C369"/>
      <x:c r="D369"/>
      <x:c r="E369" s="21"/>
      <x:c r="F369"/>
      <x:c r="G369"/>
      <x:c r="H369"/>
    </x:row>
    <x:row r="370">
      <x:c r="A370"/>
      <x:c r="B370" t="str">
        <x:v>D04Af120</x:v>
      </x:c>
      <x:c r="C370" t="str">
        <x:v>802-1</x:v>
      </x:c>
      <x:c r="D370" t="n">
        <x:v>5</x:v>
      </x:c>
      <x:c r="E370" s="21" t="n">
        <x:v>1</x:v>
      </x:c>
      <x:c r="F370"/>
      <x:c r="G370"/>
      <x:c r="H370"/>
    </x:row>
    <x:row r="371">
      <x:c r="A371"/>
      <x:c r="B371"/>
      <x:c r="C371"/>
      <x:c r="D371"/>
      <x:c r="E371" s="21"/>
      <x:c r="F371"/>
      <x:c r="G371"/>
      <x:c r="H371"/>
    </x:row>
    <x:row r="372">
      <x:c r="A372"/>
      <x:c r="B372" t="str">
        <x:v>D04A.1f120</x:v>
      </x:c>
      <x:c r="C372" t="str">
        <x:v>802-3</x:v>
      </x:c>
      <x:c r="D372" t="n">
        <x:v>5</x:v>
      </x:c>
      <x:c r="E372" s="21" t="n">
        <x:v>1</x:v>
      </x:c>
      <x:c r="F372"/>
      <x:c r="G372"/>
      <x:c r="H372"/>
    </x:row>
    <x:row r="373">
      <x:c r="A373"/>
      <x:c r="B373"/>
      <x:c r="C373"/>
      <x:c r="D373"/>
      <x:c r="E373" s="21"/>
      <x:c r="F373"/>
      <x:c r="G373"/>
      <x:c r="H373"/>
    </x:row>
    <x:row r="374">
      <x:c r="A374"/>
      <x:c r="B374" t="str">
        <x:v>D06</x:v>
      </x:c>
      <x:c r="C374" t="str">
        <x:v>805-1</x:v>
      </x:c>
      <x:c r="D374" t="n">
        <x:v>22</x:v>
      </x:c>
      <x:c r="E374" s="21" t="n">
        <x:v>1</x:v>
      </x:c>
      <x:c r="F374"/>
      <x:c r="G374"/>
      <x:c r="H374"/>
    </x:row>
    <x:row r="375">
      <x:c r="A375"/>
      <x:c r="B375" t="str">
        <x:v>D06</x:v>
      </x:c>
      <x:c r="C375" t="str">
        <x:v>806-3</x:v>
      </x:c>
      <x:c r="D375" t="n">
        <x:v>22</x:v>
      </x:c>
      <x:c r="E375" s="21" t="n">
        <x:v>1</x:v>
      </x:c>
      <x:c r="F375"/>
      <x:c r="G375"/>
      <x:c r="H375"/>
    </x:row>
    <x:row r="376">
      <x:c r="A376"/>
      <x:c r="B376"/>
      <x:c r="C376"/>
      <x:c r="D376"/>
      <x:c r="E376" s="21"/>
      <x:c r="F376"/>
      <x:c r="G376"/>
      <x:c r="H376"/>
    </x:row>
    <x:row r="377">
      <x:c r="A377"/>
      <x:c r="B377" t="str">
        <x:v>D06.1</x:v>
      </x:c>
      <x:c r="C377" t="str">
        <x:v>806-1</x:v>
      </x:c>
      <x:c r="D377" t="n">
        <x:v>22</x:v>
      </x:c>
      <x:c r="E377" s="21" t="n">
        <x:v>1</x:v>
      </x:c>
      <x:c r="F377"/>
      <x:c r="G377"/>
      <x:c r="H377"/>
    </x:row>
    <x:row r="378">
      <x:c r="A378"/>
      <x:c r="B378"/>
      <x:c r="C378"/>
      <x:c r="D378"/>
      <x:c r="E378" s="21"/>
      <x:c r="F378"/>
      <x:c r="G378"/>
      <x:c r="H378"/>
    </x:row>
    <x:row r="379">
      <x:c r="A379"/>
      <x:c r="B379" t="str">
        <x:v>D10</x:v>
      </x:c>
      <x:c r="C379" t="str">
        <x:v>807-1</x:v>
      </x:c>
      <x:c r="D379" t="n">
        <x:v>24</x:v>
      </x:c>
      <x:c r="E379" s="21" t="n">
        <x:v>1</x:v>
      </x:c>
      <x:c r="F379"/>
      <x:c r="G379"/>
      <x:c r="H379"/>
    </x:row>
    <x:row r="380">
      <x:c r="A380"/>
      <x:c r="B380"/>
      <x:c r="C380"/>
      <x:c r="D380"/>
      <x:c r="E380" s="21"/>
      <x:c r="F380"/>
      <x:c r="G380"/>
      <x:c r="H380"/>
    </x:row>
    <x:row r="381">
      <x:c r="A381"/>
      <x:c r="B381" t="str">
        <x:v>D14</x:v>
      </x:c>
      <x:c r="C381" t="str">
        <x:v>824-1</x:v>
      </x:c>
      <x:c r="D381" t="n">
        <x:v>28</x:v>
      </x:c>
      <x:c r="E381" s="21" t="n">
        <x:v>1</x:v>
      </x:c>
      <x:c r="F381"/>
      <x:c r="G381"/>
      <x:c r="H381"/>
    </x:row>
    <x:row r="382">
      <x:c r="A382"/>
      <x:c r="B382" t="str">
        <x:v>D14</x:v>
      </x:c>
      <x:c r="C382" t="str">
        <x:v>824-2</x:v>
      </x:c>
      <x:c r="D382" t="n">
        <x:v>28</x:v>
      </x:c>
      <x:c r="E382" s="21" t="n">
        <x:v>1</x:v>
      </x:c>
      <x:c r="F382"/>
      <x:c r="G382"/>
      <x:c r="H382"/>
    </x:row>
    <x:row r="383">
      <x:c r="A383"/>
      <x:c r="B383" t="str">
        <x:v>D14</x:v>
      </x:c>
      <x:c r="C383" t="str">
        <x:v>824-3</x:v>
      </x:c>
      <x:c r="D383" t="n">
        <x:v>28</x:v>
      </x:c>
      <x:c r="E383" s="21" t="n">
        <x:v>1</x:v>
      </x:c>
      <x:c r="F383"/>
      <x:c r="G383"/>
      <x:c r="H383"/>
    </x:row>
    <x:row r="384">
      <x:c r="A384"/>
      <x:c r="B384" t="str">
        <x:v>D14</x:v>
      </x:c>
      <x:c r="C384" t="str">
        <x:v>824-4</x:v>
      </x:c>
      <x:c r="D384" t="n">
        <x:v>28</x:v>
      </x:c>
      <x:c r="E384" s="21" t="n">
        <x:v>1</x:v>
      </x:c>
      <x:c r="F384"/>
      <x:c r="G384"/>
      <x:c r="H384"/>
    </x:row>
    <x:row r="385">
      <x:c r="A385"/>
      <x:c r="B385" t="str">
        <x:v>D14</x:v>
      </x:c>
      <x:c r="C385" t="str">
        <x:v>824-5</x:v>
      </x:c>
      <x:c r="D385" t="n">
        <x:v>28</x:v>
      </x:c>
      <x:c r="E385" s="21" t="n">
        <x:v>1</x:v>
      </x:c>
      <x:c r="F385"/>
      <x:c r="G385"/>
      <x:c r="H385"/>
    </x:row>
    <x:row r="386">
      <x:c r="A386"/>
      <x:c r="B386" t="str">
        <x:v>D14</x:v>
      </x:c>
      <x:c r="C386" t="str">
        <x:v>824-6</x:v>
      </x:c>
      <x:c r="D386" t="n">
        <x:v>28</x:v>
      </x:c>
      <x:c r="E386" s="21" t="n">
        <x:v>1</x:v>
      </x:c>
      <x:c r="F386"/>
      <x:c r="G386"/>
      <x:c r="H386"/>
    </x:row>
    <x:row r="387">
      <x:c r="A387"/>
      <x:c r="B387" t="str">
        <x:v>D14</x:v>
      </x:c>
      <x:c r="C387" t="str">
        <x:v>824-7</x:v>
      </x:c>
      <x:c r="D387" t="n">
        <x:v>28</x:v>
      </x:c>
      <x:c r="E387" s="21" t="n">
        <x:v>1</x:v>
      </x:c>
      <x:c r="F387"/>
      <x:c r="G387"/>
      <x:c r="H387"/>
    </x:row>
    <x:row r="388">
      <x:c r="A388"/>
      <x:c r="B388" t="str">
        <x:v>D14</x:v>
      </x:c>
      <x:c r="C388" t="str">
        <x:v>824-8</x:v>
      </x:c>
      <x:c r="D388" t="n">
        <x:v>28</x:v>
      </x:c>
      <x:c r="E388" s="21" t="n">
        <x:v>1</x:v>
      </x:c>
      <x:c r="F388"/>
      <x:c r="G388"/>
      <x:c r="H388"/>
    </x:row>
    <x:row r="389">
      <x:c r="A389"/>
      <x:c r="B389" t="str">
        <x:v>D14</x:v>
      </x:c>
      <x:c r="C389" t="str">
        <x:v>825-1</x:v>
      </x:c>
      <x:c r="D389" t="n">
        <x:v>21</x:v>
      </x:c>
      <x:c r="E389" s="21" t="n">
        <x:v>1</x:v>
      </x:c>
      <x:c r="F389"/>
      <x:c r="G389"/>
      <x:c r="H389"/>
    </x:row>
    <x:row r="390">
      <x:c r="A390" s="2"/>
      <x:c r="B390" s="2"/>
      <x:c r="C390" s="2"/>
      <x:c r="D390" s="2"/>
      <x:c r="E390" s="22"/>
      <x:c r="F390" s="2"/>
      <x:c r="G390" s="2"/>
      <x:c r="H390" s="2"/>
    </x:row>
    <x:row r="391">
      <x:c r="A391" t="str">
        <x:v>9</x:v>
      </x:c>
      <x:c r="B391" t="str">
        <x:v>D0.1</x:v>
      </x:c>
      <x:c r="C391" t="str">
        <x:v>901-1</x:v>
      </x:c>
      <x:c r="D391"/>
      <x:c r="E391" s="21" t="n">
        <x:v>1</x:v>
      </x:c>
      <x:c r="F391"/>
      <x:c r="G391"/>
      <x:c r="H391"/>
    </x:row>
    <x:row r="392">
      <x:c r="A392"/>
      <x:c r="B392" t="str">
        <x:v>D0.1</x:v>
      </x:c>
      <x:c r="C392" t="str">
        <x:v>905-1</x:v>
      </x:c>
      <x:c r="D392"/>
      <x:c r="E392" s="21" t="n">
        <x:v>1</x:v>
      </x:c>
      <x:c r="F392"/>
      <x:c r="G392"/>
      <x:c r="H392"/>
    </x:row>
    <x:row r="393">
      <x:c r="A393"/>
      <x:c r="B393" t="str">
        <x:v>D0.1</x:v>
      </x:c>
      <x:c r="C393" t="str">
        <x:v>906-1</x:v>
      </x:c>
      <x:c r="D393"/>
      <x:c r="E393" s="21" t="n">
        <x:v>1</x:v>
      </x:c>
      <x:c r="F393"/>
      <x:c r="G393"/>
      <x:c r="H393"/>
    </x:row>
    <x:row r="394">
      <x:c r="A394"/>
      <x:c r="B394" t="str">
        <x:v>D0.1</x:v>
      </x:c>
      <x:c r="C394" t="str">
        <x:v>907-1</x:v>
      </x:c>
      <x:c r="D394"/>
      <x:c r="E394" s="21" t="n">
        <x:v>1</x:v>
      </x:c>
      <x:c r="F394"/>
      <x:c r="G394"/>
      <x:c r="H394"/>
    </x:row>
    <x:row r="395">
      <x:c r="A395"/>
      <x:c r="B395" t="str">
        <x:v>D0.1</x:v>
      </x:c>
      <x:c r="C395" t="str">
        <x:v>908-1</x:v>
      </x:c>
      <x:c r="D395"/>
      <x:c r="E395" s="21" t="n">
        <x:v>1</x:v>
      </x:c>
      <x:c r="F395"/>
      <x:c r="G395"/>
      <x:c r="H395"/>
    </x:row>
    <x:row r="396">
      <x:c r="A396"/>
      <x:c r="B396" t="str">
        <x:v>D0.1</x:v>
      </x:c>
      <x:c r="C396" t="str">
        <x:v>909-1</x:v>
      </x:c>
      <x:c r="D396"/>
      <x:c r="E396" s="21" t="n">
        <x:v>1</x:v>
      </x:c>
      <x:c r="F396"/>
      <x:c r="G396"/>
      <x:c r="H396"/>
    </x:row>
    <x:row r="397">
      <x:c r="A397"/>
      <x:c r="B397" t="str">
        <x:v>D0.1</x:v>
      </x:c>
      <x:c r="C397" t="str">
        <x:v>909-2</x:v>
      </x:c>
      <x:c r="D397"/>
      <x:c r="E397" s="21" t="n">
        <x:v>1</x:v>
      </x:c>
      <x:c r="F397"/>
      <x:c r="G397"/>
      <x:c r="H397"/>
    </x:row>
    <x:row r="398">
      <x:c r="A398"/>
      <x:c r="B398" t="str">
        <x:v>D0.1</x:v>
      </x:c>
      <x:c r="C398" t="str">
        <x:v>910-1</x:v>
      </x:c>
      <x:c r="D398"/>
      <x:c r="E398" s="21" t="n">
        <x:v>1</x:v>
      </x:c>
      <x:c r="F398"/>
      <x:c r="G398"/>
      <x:c r="H398"/>
    </x:row>
    <x:row r="399">
      <x:c r="A399"/>
      <x:c r="B399" t="str">
        <x:v>D0.1</x:v>
      </x:c>
      <x:c r="C399" t="str">
        <x:v>911-1</x:v>
      </x:c>
      <x:c r="D399"/>
      <x:c r="E399" s="21" t="n">
        <x:v>1</x:v>
      </x:c>
      <x:c r="F399"/>
      <x:c r="G399"/>
      <x:c r="H399"/>
    </x:row>
    <x:row r="400">
      <x:c r="A400"/>
      <x:c r="B400" t="str">
        <x:v>D0.1</x:v>
      </x:c>
      <x:c r="C400" t="str">
        <x:v>912-1</x:v>
      </x:c>
      <x:c r="D400"/>
      <x:c r="E400" s="21" t="n">
        <x:v>1</x:v>
      </x:c>
      <x:c r="F400"/>
      <x:c r="G400"/>
      <x:c r="H400"/>
    </x:row>
    <x:row r="401">
      <x:c r="A401"/>
      <x:c r="B401" t="str">
        <x:v>D0.1</x:v>
      </x:c>
      <x:c r="C401" t="str">
        <x:v>913-1</x:v>
      </x:c>
      <x:c r="D401"/>
      <x:c r="E401" s="21" t="n">
        <x:v>1</x:v>
      </x:c>
      <x:c r="F401"/>
      <x:c r="G401"/>
      <x:c r="H401"/>
    </x:row>
    <x:row r="402">
      <x:c r="A402"/>
      <x:c r="B402" t="str">
        <x:v>D0.1</x:v>
      </x:c>
      <x:c r="C402" t="str">
        <x:v>914-1</x:v>
      </x:c>
      <x:c r="D402"/>
      <x:c r="E402" s="21" t="n">
        <x:v>1</x:v>
      </x:c>
      <x:c r="F402"/>
      <x:c r="G402"/>
      <x:c r="H402"/>
    </x:row>
    <x:row r="403">
      <x:c r="A403"/>
      <x:c r="B403" t="str">
        <x:v>D0.1</x:v>
      </x:c>
      <x:c r="C403" t="str">
        <x:v>915-1</x:v>
      </x:c>
      <x:c r="D403"/>
      <x:c r="E403" s="21" t="n">
        <x:v>1</x:v>
      </x:c>
      <x:c r="F403"/>
      <x:c r="G403"/>
      <x:c r="H403"/>
    </x:row>
    <x:row r="404">
      <x:c r="A404"/>
      <x:c r="B404" t="str">
        <x:v>D0.1</x:v>
      </x:c>
      <x:c r="C404" t="str">
        <x:v>920-1</x:v>
      </x:c>
      <x:c r="D404"/>
      <x:c r="E404" s="21" t="n">
        <x:v>1</x:v>
      </x:c>
      <x:c r="F404"/>
      <x:c r="G404"/>
      <x:c r="H404"/>
    </x:row>
    <x:row r="405">
      <x:c r="A405"/>
      <x:c r="B405" t="str">
        <x:v>D0.1</x:v>
      </x:c>
      <x:c r="C405" t="str">
        <x:v>921-1</x:v>
      </x:c>
      <x:c r="D405"/>
      <x:c r="E405" s="21" t="n">
        <x:v>1</x:v>
      </x:c>
      <x:c r="F405"/>
      <x:c r="G405"/>
      <x:c r="H405"/>
    </x:row>
    <x:row r="406">
      <x:c r="A406"/>
      <x:c r="B406" t="str">
        <x:v>D0.1</x:v>
      </x:c>
      <x:c r="C406" t="str">
        <x:v>922-1</x:v>
      </x:c>
      <x:c r="D406"/>
      <x:c r="E406" s="21" t="n">
        <x:v>1</x:v>
      </x:c>
      <x:c r="F406"/>
      <x:c r="G406"/>
      <x:c r="H406"/>
    </x:row>
    <x:row r="407">
      <x:c r="A407"/>
      <x:c r="B407" t="str">
        <x:v>D0.1</x:v>
      </x:c>
      <x:c r="C407" t="str">
        <x:v>923-1</x:v>
      </x:c>
      <x:c r="D407"/>
      <x:c r="E407" s="21" t="n">
        <x:v>1</x:v>
      </x:c>
      <x:c r="F407"/>
      <x:c r="G407"/>
      <x:c r="H407"/>
    </x:row>
    <x:row r="408">
      <x:c r="A408"/>
      <x:c r="B408"/>
      <x:c r="C408"/>
      <x:c r="D408"/>
      <x:c r="E408" s="21"/>
      <x:c r="F408"/>
      <x:c r="G408"/>
      <x:c r="H408"/>
    </x:row>
    <x:row r="409">
      <x:c r="A409"/>
      <x:c r="B409" t="str">
        <x:v>D01f60</x:v>
      </x:c>
      <x:c r="C409" t="str">
        <x:v>916-1</x:v>
      </x:c>
      <x:c r="D409" t="n">
        <x:v>10</x:v>
      </x:c>
      <x:c r="E409" s="21" t="n">
        <x:v>1</x:v>
      </x:c>
      <x:c r="F409"/>
      <x:c r="G409"/>
      <x:c r="H409"/>
    </x:row>
    <x:row r="410">
      <x:c r="A410"/>
      <x:c r="B410"/>
      <x:c r="C410"/>
      <x:c r="D410"/>
      <x:c r="E410" s="21"/>
      <x:c r="F410"/>
      <x:c r="G410"/>
      <x:c r="H410"/>
    </x:row>
    <x:row r="411">
      <x:c r="A411"/>
      <x:c r="B411" t="str">
        <x:v>D01f120</x:v>
      </x:c>
      <x:c r="C411" t="str">
        <x:v>903-1</x:v>
      </x:c>
      <x:c r="D411" t="n">
        <x:v>1</x:v>
      </x:c>
      <x:c r="E411" s="21" t="n">
        <x:v>1</x:v>
      </x:c>
      <x:c r="F411"/>
      <x:c r="G411"/>
      <x:c r="H411"/>
    </x:row>
    <x:row r="412">
      <x:c r="A412"/>
      <x:c r="B412" t="str">
        <x:v>D01f120</x:v>
      </x:c>
      <x:c r="C412" t="str">
        <x:v>904-1</x:v>
      </x:c>
      <x:c r="D412" t="n">
        <x:v>1</x:v>
      </x:c>
      <x:c r="E412" s="21" t="n">
        <x:v>1</x:v>
      </x:c>
      <x:c r="F412"/>
      <x:c r="G412"/>
      <x:c r="H412"/>
    </x:row>
    <x:row r="413">
      <x:c r="A413"/>
      <x:c r="B413"/>
      <x:c r="C413"/>
      <x:c r="D413"/>
      <x:c r="E413" s="21"/>
      <x:c r="F413"/>
      <x:c r="G413"/>
      <x:c r="H413"/>
    </x:row>
    <x:row r="414">
      <x:c r="A414"/>
      <x:c r="B414" t="str">
        <x:v>D02f120</x:v>
      </x:c>
      <x:c r="C414" t="str">
        <x:v>902-1</x:v>
      </x:c>
      <x:c r="D414" t="n">
        <x:v>16</x:v>
      </x:c>
      <x:c r="E414" s="21" t="n">
        <x:v>1</x:v>
      </x:c>
      <x:c r="F414"/>
      <x:c r="G414"/>
      <x:c r="H414"/>
    </x:row>
    <x:row r="415">
      <x:c r="A415"/>
      <x:c r="B415"/>
      <x:c r="C415"/>
      <x:c r="D415"/>
      <x:c r="E415" s="21"/>
      <x:c r="F415"/>
      <x:c r="G415"/>
      <x:c r="H415"/>
    </x:row>
    <x:row r="416">
      <x:c r="A416"/>
      <x:c r="B416" t="str">
        <x:v>D04.2</x:v>
      </x:c>
      <x:c r="C416" t="str">
        <x:v>917-1</x:v>
      </x:c>
      <x:c r="D416" t="n">
        <x:v>10</x:v>
      </x:c>
      <x:c r="E416" s="21" t="n">
        <x:v>1</x:v>
      </x:c>
      <x:c r="F416"/>
      <x:c r="G416"/>
      <x:c r="H416"/>
    </x:row>
    <x:row r="417">
      <x:c r="A417"/>
      <x:c r="B417"/>
      <x:c r="C417"/>
      <x:c r="D417"/>
      <x:c r="E417" s="21"/>
      <x:c r="F417"/>
      <x:c r="G417"/>
      <x:c r="H417"/>
    </x:row>
    <x:row r="418">
      <x:c r="A418"/>
      <x:c r="B418" t="str">
        <x:v>D04Af120</x:v>
      </x:c>
      <x:c r="C418" t="str">
        <x:v>902-2</x:v>
      </x:c>
      <x:c r="D418" t="n">
        <x:v>5</x:v>
      </x:c>
      <x:c r="E418" s="21" t="n">
        <x:v>1</x:v>
      </x:c>
      <x:c r="F418"/>
      <x:c r="G418"/>
      <x:c r="H418"/>
    </x:row>
    <x:row r="419">
      <x:c r="A419"/>
      <x:c r="B419" t="str">
        <x:v>D04Af120</x:v>
      </x:c>
      <x:c r="C419" t="str">
        <x:v>902-3</x:v>
      </x:c>
      <x:c r="D419" t="n">
        <x:v>5</x:v>
      </x:c>
      <x:c r="E419" s="21" t="n">
        <x:v>1</x:v>
      </x:c>
      <x:c r="F419"/>
      <x:c r="G419"/>
      <x:c r="H419"/>
    </x:row>
    <x:row r="420">
      <x:c r="A420"/>
      <x:c r="B420"/>
      <x:c r="C420"/>
      <x:c r="D420"/>
      <x:c r="E420" s="21"/>
      <x:c r="F420"/>
      <x:c r="G420"/>
      <x:c r="H420"/>
    </x:row>
    <x:row r="421">
      <x:c r="A421"/>
      <x:c r="B421" t="str">
        <x:v>D06</x:v>
      </x:c>
      <x:c r="C421" t="str">
        <x:v>916-2</x:v>
      </x:c>
      <x:c r="D421" t="n">
        <x:v>22</x:v>
      </x:c>
      <x:c r="E421" s="21" t="n">
        <x:v>1</x:v>
      </x:c>
      <x:c r="F421"/>
      <x:c r="G421"/>
      <x:c r="H421"/>
    </x:row>
    <x:row r="422">
      <x:c r="A422"/>
      <x:c r="B422" t="str">
        <x:v>D06</x:v>
      </x:c>
      <x:c r="C422" t="str">
        <x:v>917-3</x:v>
      </x:c>
      <x:c r="D422" t="n">
        <x:v>22</x:v>
      </x:c>
      <x:c r="E422" s="21" t="n">
        <x:v>1</x:v>
      </x:c>
      <x:c r="F422"/>
      <x:c r="G422"/>
      <x:c r="H422"/>
    </x:row>
    <x:row r="423">
      <x:c r="A423"/>
      <x:c r="B423"/>
      <x:c r="C423"/>
      <x:c r="D423"/>
      <x:c r="E423" s="21"/>
      <x:c r="F423"/>
      <x:c r="G423"/>
      <x:c r="H423"/>
    </x:row>
    <x:row r="424">
      <x:c r="A424"/>
      <x:c r="B424" t="str">
        <x:v>D06.1</x:v>
      </x:c>
      <x:c r="C424" t="str">
        <x:v>917-2</x:v>
      </x:c>
      <x:c r="D424" t="n">
        <x:v>22</x:v>
      </x:c>
      <x:c r="E424" s="21" t="n">
        <x:v>1</x:v>
      </x:c>
      <x:c r="F424"/>
      <x:c r="G424"/>
      <x:c r="H424"/>
    </x:row>
    <x:row r="425">
      <x:c r="A425"/>
      <x:c r="B425"/>
      <x:c r="C425"/>
      <x:c r="D425"/>
      <x:c r="E425" s="21"/>
      <x:c r="F425"/>
      <x:c r="G425"/>
      <x:c r="H425"/>
    </x:row>
    <x:row r="426">
      <x:c r="A426"/>
      <x:c r="B426" t="str">
        <x:v>D12</x:v>
      </x:c>
      <x:c r="C426" t="str">
        <x:v>918-1</x:v>
      </x:c>
      <x:c r="D426" t="n">
        <x:v>25</x:v>
      </x:c>
      <x:c r="E426" s="21" t="n">
        <x:v>1</x:v>
      </x:c>
      <x:c r="F426"/>
      <x:c r="G426"/>
      <x:c r="H426"/>
    </x:row>
    <x:row r="427">
      <x:c r="A427"/>
      <x:c r="B427"/>
      <x:c r="C427"/>
      <x:c r="D427"/>
      <x:c r="E427" s="21"/>
      <x:c r="F427"/>
      <x:c r="G427"/>
      <x:c r="H427"/>
    </x:row>
    <x:row r="428">
      <x:c r="A428"/>
      <x:c r="B428" t="str">
        <x:v>D14</x:v>
      </x:c>
      <x:c r="C428" t="str">
        <x:v>924-1</x:v>
      </x:c>
      <x:c r="D428" t="n">
        <x:v>28</x:v>
      </x:c>
      <x:c r="E428" s="21" t="n">
        <x:v>1</x:v>
      </x:c>
      <x:c r="F428"/>
      <x:c r="G428"/>
      <x:c r="H428"/>
    </x:row>
    <x:row r="429">
      <x:c r="A429"/>
      <x:c r="B429" t="str">
        <x:v>D14</x:v>
      </x:c>
      <x:c r="C429" t="str">
        <x:v>924-2</x:v>
      </x:c>
      <x:c r="D429" t="n">
        <x:v>28</x:v>
      </x:c>
      <x:c r="E429" s="21" t="n">
        <x:v>1</x:v>
      </x:c>
      <x:c r="F429"/>
      <x:c r="G429"/>
      <x:c r="H429"/>
    </x:row>
    <x:row r="430">
      <x:c r="A430"/>
      <x:c r="B430" t="str">
        <x:v>D14</x:v>
      </x:c>
      <x:c r="C430" t="str">
        <x:v>924-3</x:v>
      </x:c>
      <x:c r="D430" t="n">
        <x:v>28</x:v>
      </x:c>
      <x:c r="E430" s="21" t="n">
        <x:v>1</x:v>
      </x:c>
      <x:c r="F430"/>
      <x:c r="G430"/>
      <x:c r="H430"/>
    </x:row>
    <x:row r="431">
      <x:c r="A431"/>
      <x:c r="B431" t="str">
        <x:v>D14</x:v>
      </x:c>
      <x:c r="C431" t="str">
        <x:v>924-4</x:v>
      </x:c>
      <x:c r="D431" t="n">
        <x:v>28</x:v>
      </x:c>
      <x:c r="E431" s="21" t="n">
        <x:v>1</x:v>
      </x:c>
      <x:c r="F431"/>
      <x:c r="G431"/>
      <x:c r="H431"/>
    </x:row>
    <x:row r="432">
      <x:c r="A432"/>
      <x:c r="B432" t="str">
        <x:v>D14</x:v>
      </x:c>
      <x:c r="C432" t="str">
        <x:v>924-5</x:v>
      </x:c>
      <x:c r="D432" t="n">
        <x:v>28</x:v>
      </x:c>
      <x:c r="E432" s="21" t="n">
        <x:v>1</x:v>
      </x:c>
      <x:c r="F432"/>
      <x:c r="G432"/>
      <x:c r="H432"/>
    </x:row>
    <x:row r="433">
      <x:c r="A433"/>
      <x:c r="B433" t="str">
        <x:v>D14</x:v>
      </x:c>
      <x:c r="C433" t="str">
        <x:v>924-6</x:v>
      </x:c>
      <x:c r="D433" t="n">
        <x:v>28</x:v>
      </x:c>
      <x:c r="E433" s="21" t="n">
        <x:v>1</x:v>
      </x:c>
      <x:c r="F433"/>
      <x:c r="G433"/>
      <x:c r="H433"/>
    </x:row>
    <x:row r="434">
      <x:c r="A434"/>
      <x:c r="B434" t="str">
        <x:v>D14</x:v>
      </x:c>
      <x:c r="C434" t="str">
        <x:v>924-7</x:v>
      </x:c>
      <x:c r="D434" t="n">
        <x:v>28</x:v>
      </x:c>
      <x:c r="E434" s="21" t="n">
        <x:v>1</x:v>
      </x:c>
      <x:c r="F434"/>
      <x:c r="G434"/>
      <x:c r="H434"/>
    </x:row>
    <x:row r="435">
      <x:c r="A435"/>
      <x:c r="B435" t="str">
        <x:v>D14</x:v>
      </x:c>
      <x:c r="C435" t="str">
        <x:v>924-8</x:v>
      </x:c>
      <x:c r="D435" t="n">
        <x:v>28</x:v>
      </x:c>
      <x:c r="E435" s="21" t="n">
        <x:v>1</x:v>
      </x:c>
      <x:c r="F435"/>
      <x:c r="G435"/>
      <x:c r="H435"/>
    </x:row>
    <x:row r="436">
      <x:c r="A436"/>
      <x:c r="B436" t="str">
        <x:v>D14</x:v>
      </x:c>
      <x:c r="C436" t="str">
        <x:v>925-1</x:v>
      </x:c>
      <x:c r="D436" t="n">
        <x:v>21</x:v>
      </x:c>
      <x:c r="E436" s="21" t="n">
        <x:v>1</x:v>
      </x:c>
      <x:c r="F436"/>
      <x:c r="G436"/>
      <x:c r="H436"/>
    </x:row>
    <x:row r="437">
      <x:c r="A437" s="2"/>
      <x:c r="B437" s="2"/>
      <x:c r="C437" s="2"/>
      <x:c r="D437" s="2"/>
      <x:c r="E437" s="22"/>
      <x:c r="F437" s="2"/>
      <x:c r="G437" s="2"/>
      <x:c r="H437" s="2"/>
    </x:row>
    <x:row r="438">
      <x:c r="A438" t="str">
        <x:v>24</x:v>
      </x:c>
      <x:c r="B438" t="str">
        <x:v>D0.1</x:v>
      </x:c>
      <x:c r="C438" t="str">
        <x:v>2401-1</x:v>
      </x:c>
      <x:c r="D438"/>
      <x:c r="E438" s="21" t="n">
        <x:v>1</x:v>
      </x:c>
      <x:c r="F438"/>
      <x:c r="G438"/>
      <x:c r="H438"/>
    </x:row>
    <x:row r="439">
      <x:c r="A439"/>
      <x:c r="B439" t="str">
        <x:v>D0.1</x:v>
      </x:c>
      <x:c r="C439" t="str">
        <x:v>2411-1</x:v>
      </x:c>
      <x:c r="D439"/>
      <x:c r="E439" s="21" t="n">
        <x:v>1</x:v>
      </x:c>
      <x:c r="F439"/>
      <x:c r="G439"/>
      <x:c r="H439"/>
    </x:row>
    <x:row r="440">
      <x:c r="A440"/>
      <x:c r="B440" t="str">
        <x:v>D0.1</x:v>
      </x:c>
      <x:c r="C440" t="str">
        <x:v>T-2401-1</x:v>
      </x:c>
      <x:c r="D440"/>
      <x:c r="E440" s="21" t="n">
        <x:v>1</x:v>
      </x:c>
      <x:c r="F440"/>
      <x:c r="G440"/>
      <x:c r="H440"/>
    </x:row>
    <x:row r="441">
      <x:c r="A441"/>
      <x:c r="B441" t="str">
        <x:v>D0.1</x:v>
      </x:c>
      <x:c r="C441" t="str">
        <x:v>T-2402-2</x:v>
      </x:c>
      <x:c r="D441"/>
      <x:c r="E441" s="21" t="n">
        <x:v>1</x:v>
      </x:c>
      <x:c r="F441"/>
      <x:c r="G441"/>
      <x:c r="H441"/>
    </x:row>
    <x:row r="442">
      <x:c r="A442"/>
      <x:c r="B442" t="str">
        <x:v>D0.1</x:v>
      </x:c>
      <x:c r="C442" t="str">
        <x:v>T-2403-1</x:v>
      </x:c>
      <x:c r="D442"/>
      <x:c r="E442" s="21" t="n">
        <x:v>1</x:v>
      </x:c>
      <x:c r="F442"/>
      <x:c r="G442"/>
      <x:c r="H442"/>
    </x:row>
    <x:row r="443">
      <x:c r="A443"/>
      <x:c r="B443" t="str">
        <x:v>D0.1</x:v>
      </x:c>
      <x:c r="C443" t="str">
        <x:v>T-2405-1</x:v>
      </x:c>
      <x:c r="D443"/>
      <x:c r="E443" s="21" t="n">
        <x:v>1</x:v>
      </x:c>
      <x:c r="F443"/>
      <x:c r="G443"/>
      <x:c r="H443"/>
    </x:row>
    <x:row r="444">
      <x:c r="A444"/>
      <x:c r="B444"/>
      <x:c r="C444"/>
      <x:c r="D444"/>
      <x:c r="E444" s="21"/>
      <x:c r="F444"/>
      <x:c r="G444"/>
      <x:c r="H444"/>
    </x:row>
    <x:row r="445">
      <x:c r="A445"/>
      <x:c r="B445" t="str">
        <x:v>D0.2</x:v>
      </x:c>
      <x:c r="C445" t="str">
        <x:v>2406-1</x:v>
      </x:c>
      <x:c r="D445"/>
      <x:c r="E445" s="21" t="n">
        <x:v>1</x:v>
      </x:c>
      <x:c r="F445"/>
      <x:c r="G445"/>
      <x:c r="H445"/>
    </x:row>
    <x:row r="446">
      <x:c r="A446"/>
      <x:c r="B446" t="str">
        <x:v>D0.2</x:v>
      </x:c>
      <x:c r="C446" t="str">
        <x:v>2406-2</x:v>
      </x:c>
      <x:c r="D446"/>
      <x:c r="E446" s="21" t="n">
        <x:v>1</x:v>
      </x:c>
      <x:c r="F446"/>
      <x:c r="G446"/>
      <x:c r="H446"/>
    </x:row>
    <x:row r="447">
      <x:c r="A447"/>
      <x:c r="B447"/>
      <x:c r="C447"/>
      <x:c r="D447"/>
      <x:c r="E447" s="21"/>
      <x:c r="F447"/>
      <x:c r="G447"/>
      <x:c r="H447"/>
    </x:row>
    <x:row r="448">
      <x:c r="A448"/>
      <x:c r="B448" t="str">
        <x:v>D01</x:v>
      </x:c>
      <x:c r="C448" t="str">
        <x:v>2418-1</x:v>
      </x:c>
      <x:c r="D448" t="n">
        <x:v>8</x:v>
      </x:c>
      <x:c r="E448" s="21" t="n">
        <x:v>1</x:v>
      </x:c>
      <x:c r="F448"/>
      <x:c r="G448"/>
      <x:c r="H448"/>
    </x:row>
    <x:row r="449">
      <x:c r="A449"/>
      <x:c r="B449"/>
      <x:c r="C449"/>
      <x:c r="D449"/>
      <x:c r="E449" s="21"/>
      <x:c r="F449"/>
      <x:c r="G449"/>
      <x:c r="H449"/>
    </x:row>
    <x:row r="450">
      <x:c r="A450"/>
      <x:c r="B450" t="str">
        <x:v>D01f60</x:v>
      </x:c>
      <x:c r="C450" t="str">
        <x:v>2408-2</x:v>
      </x:c>
      <x:c r="D450" t="n">
        <x:v>10</x:v>
      </x:c>
      <x:c r="E450" s="21" t="n">
        <x:v>1</x:v>
      </x:c>
      <x:c r="F450"/>
      <x:c r="G450"/>
      <x:c r="H450"/>
    </x:row>
    <x:row r="451">
      <x:c r="A451"/>
      <x:c r="B451"/>
      <x:c r="C451"/>
      <x:c r="D451"/>
      <x:c r="E451" s="21"/>
      <x:c r="F451"/>
      <x:c r="G451"/>
      <x:c r="H451"/>
    </x:row>
    <x:row r="452">
      <x:c r="A452"/>
      <x:c r="B452" t="str">
        <x:v>D01f120</x:v>
      </x:c>
      <x:c r="C452" t="str">
        <x:v>2403-1</x:v>
      </x:c>
      <x:c r="D452" t="n">
        <x:v>1</x:v>
      </x:c>
      <x:c r="E452" s="21" t="n">
        <x:v>1</x:v>
      </x:c>
      <x:c r="F452"/>
      <x:c r="G452"/>
      <x:c r="H452"/>
    </x:row>
    <x:row r="453">
      <x:c r="A453"/>
      <x:c r="B453" t="str">
        <x:v>D01f120</x:v>
      </x:c>
      <x:c r="C453" t="str">
        <x:v>2404-1</x:v>
      </x:c>
      <x:c r="D453" t="n">
        <x:v>1</x:v>
      </x:c>
      <x:c r="E453" s="21" t="n">
        <x:v>1</x:v>
      </x:c>
      <x:c r="F453"/>
      <x:c r="G453"/>
      <x:c r="H453"/>
    </x:row>
    <x:row r="454">
      <x:c r="A454"/>
      <x:c r="B454"/>
      <x:c r="C454"/>
      <x:c r="D454"/>
      <x:c r="E454" s="21"/>
      <x:c r="F454"/>
      <x:c r="G454"/>
      <x:c r="H454"/>
    </x:row>
    <x:row r="455">
      <x:c r="A455"/>
      <x:c r="B455" t="str">
        <x:v>D02f120</x:v>
      </x:c>
      <x:c r="C455" t="str">
        <x:v>2402-1</x:v>
      </x:c>
      <x:c r="D455" t="n">
        <x:v>16</x:v>
      </x:c>
      <x:c r="E455" s="21" t="n">
        <x:v>1</x:v>
      </x:c>
      <x:c r="F455"/>
      <x:c r="G455"/>
      <x:c r="H455"/>
    </x:row>
    <x:row r="456">
      <x:c r="A456"/>
      <x:c r="B456" t="str">
        <x:v>D02f120</x:v>
      </x:c>
      <x:c r="C456" t="str">
        <x:v>2402-2</x:v>
      </x:c>
      <x:c r="D456" t="n">
        <x:v>16</x:v>
      </x:c>
      <x:c r="E456" s="21" t="n">
        <x:v>1</x:v>
      </x:c>
      <x:c r="F456"/>
      <x:c r="G456"/>
      <x:c r="H456"/>
    </x:row>
    <x:row r="457">
      <x:c r="A457"/>
      <x:c r="B457"/>
      <x:c r="C457"/>
      <x:c r="D457"/>
      <x:c r="E457" s="21"/>
      <x:c r="F457"/>
      <x:c r="G457"/>
      <x:c r="H457"/>
    </x:row>
    <x:row r="458">
      <x:c r="A458"/>
      <x:c r="B458" t="str">
        <x:v>D04Af60</x:v>
      </x:c>
      <x:c r="C458" t="str">
        <x:v>2409-1</x:v>
      </x:c>
      <x:c r="D458" t="n">
        <x:v>5</x:v>
      </x:c>
      <x:c r="E458" s="21" t="n">
        <x:v>1</x:v>
      </x:c>
      <x:c r="F458"/>
      <x:c r="G458"/>
      <x:c r="H458"/>
    </x:row>
    <x:row r="459">
      <x:c r="A459"/>
      <x:c r="B459" t="str">
        <x:v>D04Af60</x:v>
      </x:c>
      <x:c r="C459" t="str">
        <x:v>2412-1</x:v>
      </x:c>
      <x:c r="D459" t="n">
        <x:v>5</x:v>
      </x:c>
      <x:c r="E459" s="21" t="n">
        <x:v>1</x:v>
      </x:c>
      <x:c r="F459"/>
      <x:c r="G459"/>
      <x:c r="H459"/>
    </x:row>
    <x:row r="460">
      <x:c r="A460"/>
      <x:c r="B460" t="str">
        <x:v>D04Af60</x:v>
      </x:c>
      <x:c r="C460" t="str">
        <x:v>2412-2</x:v>
      </x:c>
      <x:c r="D460" t="n">
        <x:v>5</x:v>
      </x:c>
      <x:c r="E460" s="21" t="n">
        <x:v>1</x:v>
      </x:c>
      <x:c r="F460"/>
      <x:c r="G460"/>
      <x:c r="H460"/>
    </x:row>
    <x:row r="461">
      <x:c r="A461"/>
      <x:c r="B461" t="str">
        <x:v>D04Af60</x:v>
      </x:c>
      <x:c r="C461" t="str">
        <x:v>2415-1</x:v>
      </x:c>
      <x:c r="D461" t="n">
        <x:v>5</x:v>
      </x:c>
      <x:c r="E461" s="21" t="n">
        <x:v>1</x:v>
      </x:c>
      <x:c r="F461"/>
      <x:c r="G461"/>
      <x:c r="H461"/>
    </x:row>
    <x:row r="462">
      <x:c r="A462"/>
      <x:c r="B462" t="str">
        <x:v>D04Af60</x:v>
      </x:c>
      <x:c r="C462" t="str">
        <x:v>2417-2</x:v>
      </x:c>
      <x:c r="D462" t="n">
        <x:v>5</x:v>
      </x:c>
      <x:c r="E462" s="21" t="n">
        <x:v>1</x:v>
      </x:c>
      <x:c r="F462"/>
      <x:c r="G462"/>
      <x:c r="H462"/>
    </x:row>
    <x:row r="463">
      <x:c r="A463"/>
      <x:c r="B463" t="str">
        <x:v>D04Af60</x:v>
      </x:c>
      <x:c r="C463" t="str">
        <x:v>2417-2</x:v>
      </x:c>
      <x:c r="D463" t="n">
        <x:v>5</x:v>
      </x:c>
      <x:c r="E463" s="21" t="n">
        <x:v>1</x:v>
      </x:c>
      <x:c r="F463"/>
      <x:c r="G463"/>
      <x:c r="H463"/>
    </x:row>
    <x:row r="464">
      <x:c r="A464"/>
      <x:c r="B464"/>
      <x:c r="C464"/>
      <x:c r="D464"/>
      <x:c r="E464" s="21"/>
      <x:c r="F464"/>
      <x:c r="G464"/>
      <x:c r="H464"/>
    </x:row>
    <x:row r="465">
      <x:c r="A465"/>
      <x:c r="B465" t="str">
        <x:v>D06</x:v>
      </x:c>
      <x:c r="C465" t="str">
        <x:v>2408-1</x:v>
      </x:c>
      <x:c r="D465" t="n">
        <x:v>22</x:v>
      </x:c>
      <x:c r="E465" s="21" t="n">
        <x:v>1</x:v>
      </x:c>
      <x:c r="F465"/>
      <x:c r="G465"/>
      <x:c r="H465"/>
    </x:row>
    <x:row r="466">
      <x:c r="A466"/>
      <x:c r="B466"/>
      <x:c r="C466"/>
      <x:c r="D466"/>
      <x:c r="E466" s="21"/>
      <x:c r="F466"/>
      <x:c r="G466"/>
      <x:c r="H466"/>
    </x:row>
    <x:row r="467">
      <x:c r="A467"/>
      <x:c r="B467" t="str">
        <x:v>D10</x:v>
      </x:c>
      <x:c r="C467" t="str">
        <x:v>T-2404-1</x:v>
      </x:c>
      <x:c r="D467" t="n">
        <x:v>24</x:v>
      </x:c>
      <x:c r="E467" s="21" t="n">
        <x:v>1</x:v>
      </x:c>
      <x:c r="F467"/>
      <x:c r="G467"/>
      <x:c r="H467"/>
    </x:row>
    <x:row r="468">
      <x:c r="A468"/>
      <x:c r="B468"/>
      <x:c r="C468"/>
      <x:c r="D468"/>
      <x:c r="E468" s="21"/>
      <x:c r="F468"/>
      <x:c r="G468"/>
      <x:c r="H468"/>
    </x:row>
    <x:row r="469">
      <x:c r="A469"/>
      <x:c r="B469" t="str">
        <x:v>D14</x:v>
      </x:c>
      <x:c r="C469" t="str">
        <x:v>2409-2</x:v>
      </x:c>
      <x:c r="D469" t="n">
        <x:v>28</x:v>
      </x:c>
      <x:c r="E469" s="21" t="n">
        <x:v>1</x:v>
      </x:c>
      <x:c r="F469"/>
      <x:c r="G469"/>
      <x:c r="H469"/>
    </x:row>
    <x:row r="470">
      <x:c r="A470"/>
      <x:c r="B470" t="str">
        <x:v>D14</x:v>
      </x:c>
      <x:c r="C470" t="str">
        <x:v>2409-3</x:v>
      </x:c>
      <x:c r="D470" t="n">
        <x:v>28</x:v>
      </x:c>
      <x:c r="E470" s="21" t="n">
        <x:v>1</x:v>
      </x:c>
      <x:c r="F470"/>
      <x:c r="G470"/>
      <x:c r="H470"/>
    </x:row>
    <x:row r="471">
      <x:c r="A471" s="2"/>
      <x:c r="B471" s="2"/>
      <x:c r="C471" s="2"/>
      <x:c r="D471" s="2"/>
      <x:c r="E471" s="22"/>
      <x:c r="F471" s="2"/>
      <x:c r="G471" s="2"/>
      <x:c r="H471" s="2"/>
    </x:row>
    <x:row r="472">
      <x:c r="A472" t="str">
        <x:v>25</x:v>
      </x:c>
      <x:c r="B472" t="str">
        <x:v>D0.1</x:v>
      </x:c>
      <x:c r="C472" t="str">
        <x:v>2509-1</x:v>
      </x:c>
      <x:c r="D472"/>
      <x:c r="E472" s="21" t="n">
        <x:v>1</x:v>
      </x:c>
      <x:c r="F472"/>
      <x:c r="G472"/>
      <x:c r="H472"/>
    </x:row>
    <x:row r="473">
      <x:c r="A473"/>
      <x:c r="B473" t="str">
        <x:v>D0.1</x:v>
      </x:c>
      <x:c r="C473" t="str">
        <x:v>2511-1</x:v>
      </x:c>
      <x:c r="D473"/>
      <x:c r="E473" s="21" t="n">
        <x:v>1</x:v>
      </x:c>
      <x:c r="F473"/>
      <x:c r="G473"/>
      <x:c r="H473"/>
    </x:row>
    <x:row r="474">
      <x:c r="A474"/>
      <x:c r="B474" t="str">
        <x:v>D0.1</x:v>
      </x:c>
      <x:c r="C474" t="str">
        <x:v>2513-1</x:v>
      </x:c>
      <x:c r="D474"/>
      <x:c r="E474" s="21" t="n">
        <x:v>1</x:v>
      </x:c>
      <x:c r="F474"/>
      <x:c r="G474"/>
      <x:c r="H474"/>
    </x:row>
    <x:row r="475">
      <x:c r="A475"/>
      <x:c r="B475" t="str">
        <x:v>D0.1</x:v>
      </x:c>
      <x:c r="C475" t="str">
        <x:v>2513-2</x:v>
      </x:c>
      <x:c r="D475"/>
      <x:c r="E475" s="21" t="n">
        <x:v>1</x:v>
      </x:c>
      <x:c r="F475"/>
      <x:c r="G475"/>
      <x:c r="H475"/>
    </x:row>
    <x:row r="476">
      <x:c r="A476"/>
      <x:c r="B476" t="str">
        <x:v>D0.1</x:v>
      </x:c>
      <x:c r="C476" t="str">
        <x:v>2514-1</x:v>
      </x:c>
      <x:c r="D476"/>
      <x:c r="E476" s="21" t="n">
        <x:v>1</x:v>
      </x:c>
      <x:c r="F476"/>
      <x:c r="G476"/>
      <x:c r="H476"/>
    </x:row>
    <x:row r="477">
      <x:c r="A477"/>
      <x:c r="B477" t="str">
        <x:v>D0.1</x:v>
      </x:c>
      <x:c r="C477" t="str">
        <x:v>2514-2</x:v>
      </x:c>
      <x:c r="D477"/>
      <x:c r="E477" s="21" t="n">
        <x:v>1</x:v>
      </x:c>
      <x:c r="F477"/>
      <x:c r="G477"/>
      <x:c r="H477"/>
    </x:row>
    <x:row r="478">
      <x:c r="A478"/>
      <x:c r="B478" t="str">
        <x:v>D0.1</x:v>
      </x:c>
      <x:c r="C478" t="str">
        <x:v>2516-1</x:v>
      </x:c>
      <x:c r="D478"/>
      <x:c r="E478" s="21" t="n">
        <x:v>1</x:v>
      </x:c>
      <x:c r="F478"/>
      <x:c r="G478"/>
      <x:c r="H478"/>
    </x:row>
    <x:row r="479">
      <x:c r="A479"/>
      <x:c r="B479" t="str">
        <x:v>D0.1</x:v>
      </x:c>
      <x:c r="C479" t="str">
        <x:v>2517-1</x:v>
      </x:c>
      <x:c r="D479"/>
      <x:c r="E479" s="21" t="n">
        <x:v>1</x:v>
      </x:c>
      <x:c r="F479"/>
      <x:c r="G479"/>
      <x:c r="H479"/>
    </x:row>
    <x:row r="480">
      <x:c r="A480"/>
      <x:c r="B480" t="str">
        <x:v>D0.1</x:v>
      </x:c>
      <x:c r="C480" t="str">
        <x:v>2520-1</x:v>
      </x:c>
      <x:c r="D480"/>
      <x:c r="E480" s="21" t="n">
        <x:v>1</x:v>
      </x:c>
      <x:c r="F480"/>
      <x:c r="G480"/>
      <x:c r="H480"/>
    </x:row>
    <x:row r="481">
      <x:c r="A481"/>
      <x:c r="B481" t="str">
        <x:v>D0.1</x:v>
      </x:c>
      <x:c r="C481" t="str">
        <x:v>2521-1</x:v>
      </x:c>
      <x:c r="D481"/>
      <x:c r="E481" s="21" t="n">
        <x:v>1</x:v>
      </x:c>
      <x:c r="F481"/>
      <x:c r="G481"/>
      <x:c r="H481"/>
    </x:row>
    <x:row r="482">
      <x:c r="A482"/>
      <x:c r="B482" t="str">
        <x:v>D0.1</x:v>
      </x:c>
      <x:c r="C482" t="str">
        <x:v>2523-1</x:v>
      </x:c>
      <x:c r="D482"/>
      <x:c r="E482" s="21" t="n">
        <x:v>1</x:v>
      </x:c>
      <x:c r="F482"/>
      <x:c r="G482"/>
      <x:c r="H482"/>
    </x:row>
    <x:row r="483">
      <x:c r="A483"/>
      <x:c r="B483" t="str">
        <x:v>D0.1</x:v>
      </x:c>
      <x:c r="C483" t="str">
        <x:v>2527-1</x:v>
      </x:c>
      <x:c r="D483"/>
      <x:c r="E483" s="21" t="n">
        <x:v>1</x:v>
      </x:c>
      <x:c r="F483"/>
      <x:c r="G483"/>
      <x:c r="H483"/>
    </x:row>
    <x:row r="484">
      <x:c r="A484"/>
      <x:c r="B484" t="str">
        <x:v>D0.1</x:v>
      </x:c>
      <x:c r="C484" t="str">
        <x:v>2528-1</x:v>
      </x:c>
      <x:c r="D484"/>
      <x:c r="E484" s="21" t="n">
        <x:v>1</x:v>
      </x:c>
      <x:c r="F484"/>
      <x:c r="G484"/>
      <x:c r="H484"/>
    </x:row>
    <x:row r="485">
      <x:c r="A485"/>
      <x:c r="B485" t="str">
        <x:v>D0.1</x:v>
      </x:c>
      <x:c r="C485" t="str">
        <x:v>2529-1</x:v>
      </x:c>
      <x:c r="D485"/>
      <x:c r="E485" s="21" t="n">
        <x:v>1</x:v>
      </x:c>
      <x:c r="F485"/>
      <x:c r="G485"/>
      <x:c r="H485"/>
    </x:row>
    <x:row r="486">
      <x:c r="A486"/>
      <x:c r="B486" t="str">
        <x:v>D0.1</x:v>
      </x:c>
      <x:c r="C486" t="str">
        <x:v>T-2501-1</x:v>
      </x:c>
      <x:c r="D486"/>
      <x:c r="E486" s="21" t="n">
        <x:v>1</x:v>
      </x:c>
      <x:c r="F486"/>
      <x:c r="G486"/>
      <x:c r="H486"/>
    </x:row>
    <x:row r="487">
      <x:c r="A487"/>
      <x:c r="B487" t="str">
        <x:v>D0.1</x:v>
      </x:c>
      <x:c r="C487" t="str">
        <x:v>T-2502-1</x:v>
      </x:c>
      <x:c r="D487"/>
      <x:c r="E487" s="21" t="n">
        <x:v>1</x:v>
      </x:c>
      <x:c r="F487"/>
      <x:c r="G487"/>
      <x:c r="H487"/>
    </x:row>
    <x:row r="488">
      <x:c r="A488"/>
      <x:c r="B488" t="str">
        <x:v>D0.1</x:v>
      </x:c>
      <x:c r="C488" t="str">
        <x:v>T-2502-2</x:v>
      </x:c>
      <x:c r="D488"/>
      <x:c r="E488" s="21" t="n">
        <x:v>1</x:v>
      </x:c>
      <x:c r="F488"/>
      <x:c r="G488"/>
      <x:c r="H488"/>
    </x:row>
    <x:row r="489">
      <x:c r="A489"/>
      <x:c r="B489" t="str">
        <x:v>D0.1</x:v>
      </x:c>
      <x:c r="C489" t="str">
        <x:v>T-2502-3</x:v>
      </x:c>
      <x:c r="D489"/>
      <x:c r="E489" s="21" t="n">
        <x:v>1</x:v>
      </x:c>
      <x:c r="F489"/>
      <x:c r="G489"/>
      <x:c r="H489"/>
    </x:row>
    <x:row r="490">
      <x:c r="A490"/>
      <x:c r="B490" t="str">
        <x:v>D0.1</x:v>
      </x:c>
      <x:c r="C490" t="str">
        <x:v>T-2502-4</x:v>
      </x:c>
      <x:c r="D490"/>
      <x:c r="E490" s="21" t="n">
        <x:v>1</x:v>
      </x:c>
      <x:c r="F490"/>
      <x:c r="G490"/>
      <x:c r="H490"/>
    </x:row>
    <x:row r="491">
      <x:c r="A491"/>
      <x:c r="B491" t="str">
        <x:v>D0.1</x:v>
      </x:c>
      <x:c r="C491" t="str">
        <x:v>T-2503-1</x:v>
      </x:c>
      <x:c r="D491"/>
      <x:c r="E491" s="21" t="n">
        <x:v>1</x:v>
      </x:c>
      <x:c r="F491"/>
      <x:c r="G491"/>
      <x:c r="H491"/>
    </x:row>
    <x:row r="492">
      <x:c r="A492"/>
      <x:c r="B492" t="str">
        <x:v>D0.1</x:v>
      </x:c>
      <x:c r="C492" t="str">
        <x:v>T-2503-2</x:v>
      </x:c>
      <x:c r="D492"/>
      <x:c r="E492" s="21" t="n">
        <x:v>1</x:v>
      </x:c>
      <x:c r="F492"/>
      <x:c r="G492"/>
      <x:c r="H492"/>
    </x:row>
    <x:row r="493">
      <x:c r="A493"/>
      <x:c r="B493" t="str">
        <x:v>D0.1</x:v>
      </x:c>
      <x:c r="C493" t="str">
        <x:v>T-2503-3</x:v>
      </x:c>
      <x:c r="D493"/>
      <x:c r="E493" s="21" t="n">
        <x:v>1</x:v>
      </x:c>
      <x:c r="F493"/>
      <x:c r="G493"/>
      <x:c r="H493"/>
    </x:row>
    <x:row r="494">
      <x:c r="A494"/>
      <x:c r="B494"/>
      <x:c r="C494"/>
      <x:c r="D494"/>
      <x:c r="E494" s="21"/>
      <x:c r="F494"/>
      <x:c r="G494"/>
      <x:c r="H494"/>
    </x:row>
    <x:row r="495">
      <x:c r="A495"/>
      <x:c r="B495" t="str">
        <x:v>D01f60</x:v>
      </x:c>
      <x:c r="C495" t="str">
        <x:v>2503-1</x:v>
      </x:c>
      <x:c r="D495" t="n">
        <x:v>10</x:v>
      </x:c>
      <x:c r="E495" s="21" t="n">
        <x:v>1</x:v>
      </x:c>
      <x:c r="F495"/>
      <x:c r="G495"/>
      <x:c r="H495"/>
    </x:row>
    <x:row r="496">
      <x:c r="A496"/>
      <x:c r="B496" t="str">
        <x:v>D01f60</x:v>
      </x:c>
      <x:c r="C496" t="str">
        <x:v>2506-1</x:v>
      </x:c>
      <x:c r="D496" t="n">
        <x:v>10</x:v>
      </x:c>
      <x:c r="E496" s="21" t="n">
        <x:v>1</x:v>
      </x:c>
      <x:c r="F496"/>
      <x:c r="G496"/>
      <x:c r="H496"/>
    </x:row>
    <x:row r="497">
      <x:c r="A497"/>
      <x:c r="B497"/>
      <x:c r="C497"/>
      <x:c r="D497"/>
      <x:c r="E497" s="21"/>
      <x:c r="F497"/>
      <x:c r="G497"/>
      <x:c r="H497"/>
    </x:row>
    <x:row r="498">
      <x:c r="A498"/>
      <x:c r="B498" t="str">
        <x:v>D01f120</x:v>
      </x:c>
      <x:c r="C498" t="str">
        <x:v>2502-2</x:v>
      </x:c>
      <x:c r="D498" t="n">
        <x:v>1</x:v>
      </x:c>
      <x:c r="E498" s="21" t="n">
        <x:v>1</x:v>
      </x:c>
      <x:c r="F498"/>
      <x:c r="G498"/>
      <x:c r="H498"/>
    </x:row>
    <x:row r="499">
      <x:c r="A499"/>
      <x:c r="B499" t="str">
        <x:v>D01f120</x:v>
      </x:c>
      <x:c r="C499" t="str">
        <x:v>2504-1</x:v>
      </x:c>
      <x:c r="D499" t="n">
        <x:v>1</x:v>
      </x:c>
      <x:c r="E499" s="21" t="n">
        <x:v>1</x:v>
      </x:c>
      <x:c r="F499"/>
      <x:c r="G499"/>
      <x:c r="H499"/>
    </x:row>
    <x:row r="500">
      <x:c r="A500"/>
      <x:c r="B500" t="str">
        <x:v>D01f120</x:v>
      </x:c>
      <x:c r="C500" t="str">
        <x:v>2504-2</x:v>
      </x:c>
      <x:c r="D500" t="n">
        <x:v>1</x:v>
      </x:c>
      <x:c r="E500" s="21" t="n">
        <x:v>1</x:v>
      </x:c>
      <x:c r="F500"/>
      <x:c r="G500"/>
      <x:c r="H500"/>
    </x:row>
    <x:row r="501">
      <x:c r="A501"/>
      <x:c r="B501" t="str">
        <x:v>D01f120</x:v>
      </x:c>
      <x:c r="C501" t="str">
        <x:v>2505-1</x:v>
      </x:c>
      <x:c r="D501" t="n">
        <x:v>1</x:v>
      </x:c>
      <x:c r="E501" s="21" t="n">
        <x:v>1</x:v>
      </x:c>
      <x:c r="F501"/>
      <x:c r="G501"/>
      <x:c r="H501"/>
    </x:row>
    <x:row r="502">
      <x:c r="A502"/>
      <x:c r="B502"/>
      <x:c r="C502"/>
      <x:c r="D502"/>
      <x:c r="E502" s="21"/>
      <x:c r="F502"/>
      <x:c r="G502"/>
      <x:c r="H502"/>
    </x:row>
    <x:row r="503">
      <x:c r="A503"/>
      <x:c r="B503" t="str">
        <x:v>D03Af120</x:v>
      </x:c>
      <x:c r="C503" t="str">
        <x:v>2502-1</x:v>
      </x:c>
      <x:c r="D503" t="n">
        <x:v>14</x:v>
      </x:c>
      <x:c r="E503" s="21" t="n">
        <x:v>1</x:v>
      </x:c>
      <x:c r="F503"/>
      <x:c r="G503"/>
      <x:c r="H503"/>
    </x:row>
    <x:row r="504">
      <x:c r="A504"/>
      <x:c r="B504" t="str">
        <x:v>D03Af120</x:v>
      </x:c>
      <x:c r="C504" t="str">
        <x:v>2502-2</x:v>
      </x:c>
      <x:c r="D504" t="n">
        <x:v>14</x:v>
      </x:c>
      <x:c r="E504" s="21" t="n">
        <x:v>1</x:v>
      </x:c>
      <x:c r="F504"/>
      <x:c r="G504"/>
      <x:c r="H504"/>
    </x:row>
    <x:row r="505">
      <x:c r="A505"/>
      <x:c r="B505"/>
      <x:c r="C505"/>
      <x:c r="D505"/>
      <x:c r="E505" s="21"/>
      <x:c r="F505"/>
      <x:c r="G505"/>
      <x:c r="H505"/>
    </x:row>
    <x:row r="506">
      <x:c r="A506"/>
      <x:c r="B506" t="str">
        <x:v>D04A</x:v>
      </x:c>
      <x:c r="C506" t="str">
        <x:v>2503-1</x:v>
      </x:c>
      <x:c r="D506" t="n">
        <x:v>5</x:v>
      </x:c>
      <x:c r="E506" s="21" t="n">
        <x:v>1</x:v>
      </x:c>
      <x:c r="F506"/>
      <x:c r="G506"/>
      <x:c r="H506"/>
    </x:row>
    <x:row r="507">
      <x:c r="A507"/>
      <x:c r="B507" t="str">
        <x:v>D04A</x:v>
      </x:c>
      <x:c r="C507" t="str">
        <x:v>2507-1</x:v>
      </x:c>
      <x:c r="D507" t="n">
        <x:v>5</x:v>
      </x:c>
      <x:c r="E507" s="21" t="n">
        <x:v>1</x:v>
      </x:c>
      <x:c r="F507"/>
      <x:c r="G507"/>
      <x:c r="H507"/>
    </x:row>
    <x:row r="508">
      <x:c r="A508"/>
      <x:c r="B508" t="str">
        <x:v>D04A</x:v>
      </x:c>
      <x:c r="C508" t="str">
        <x:v>2508-1</x:v>
      </x:c>
      <x:c r="D508" t="n">
        <x:v>5</x:v>
      </x:c>
      <x:c r="E508" s="21" t="n">
        <x:v>1</x:v>
      </x:c>
      <x:c r="F508"/>
      <x:c r="G508"/>
      <x:c r="H508"/>
    </x:row>
    <x:row r="509">
      <x:c r="A509"/>
      <x:c r="B509" t="str">
        <x:v>D04A</x:v>
      </x:c>
      <x:c r="C509" t="str">
        <x:v>2524-1</x:v>
      </x:c>
      <x:c r="D509" t="n">
        <x:v>5</x:v>
      </x:c>
      <x:c r="E509" s="21" t="n">
        <x:v>1</x:v>
      </x:c>
      <x:c r="F509"/>
      <x:c r="G509"/>
      <x:c r="H509"/>
    </x:row>
    <x:row r="510">
      <x:c r="A510"/>
      <x:c r="B510"/>
      <x:c r="C510"/>
      <x:c r="D510"/>
      <x:c r="E510" s="21"/>
      <x:c r="F510"/>
      <x:c r="G510"/>
      <x:c r="H510"/>
    </x:row>
    <x:row r="511">
      <x:c r="A511"/>
      <x:c r="B511" t="str">
        <x:v>D06</x:v>
      </x:c>
      <x:c r="C511" t="str">
        <x:v>2506-2</x:v>
      </x:c>
      <x:c r="D511" t="n">
        <x:v>22</x:v>
      </x:c>
      <x:c r="E511" s="21" t="n">
        <x:v>1</x:v>
      </x:c>
      <x:c r="F511"/>
      <x:c r="G511"/>
      <x:c r="H511"/>
    </x:row>
    <x:row r="512">
      <x:c r="A512"/>
      <x:c r="B512" t="str">
        <x:v>D06</x:v>
      </x:c>
      <x:c r="C512" t="str">
        <x:v>2507-2</x:v>
      </x:c>
      <x:c r="D512" t="n">
        <x:v>22</x:v>
      </x:c>
      <x:c r="E512" s="21" t="n">
        <x:v>1</x:v>
      </x:c>
      <x:c r="F512"/>
      <x:c r="G512"/>
      <x:c r="H512"/>
    </x:row>
    <x:row r="513">
      <x:c r="A513"/>
      <x:c r="B513" t="str">
        <x:v>D06</x:v>
      </x:c>
      <x:c r="C513" t="str">
        <x:v>2507-3</x:v>
      </x:c>
      <x:c r="D513" t="n">
        <x:v>22</x:v>
      </x:c>
      <x:c r="E513" s="21" t="n">
        <x:v>1</x:v>
      </x:c>
      <x:c r="F513"/>
      <x:c r="G513"/>
      <x:c r="H513"/>
    </x:row>
    <x:row r="514">
      <x:c r="A514"/>
      <x:c r="B514"/>
      <x:c r="C514"/>
      <x:c r="D514"/>
      <x:c r="E514" s="21"/>
      <x:c r="F514"/>
      <x:c r="G514"/>
      <x:c r="H514"/>
    </x:row>
    <x:row r="515">
      <x:c r="A515"/>
      <x:c r="B515" t="str">
        <x:v>AD03</x:v>
      </x:c>
      <x:c r="C515" t="str">
        <x:v>2501-1</x:v>
      </x:c>
      <x:c r="D515" t="n">
        <x:v>34</x:v>
      </x:c>
      <x:c r="E515" s="21" t="n">
        <x:v>1</x:v>
      </x:c>
      <x:c r="F515"/>
      <x:c r="G515"/>
      <x:c r="H515"/>
    </x:row>
    <x:row r="516">
      <x:c r="A516" s="2"/>
      <x:c r="B516" s="2"/>
      <x:c r="C516" s="2"/>
      <x:c r="D516" s="2"/>
      <x:c r="E516" s="22"/>
      <x:c r="F516" s="2"/>
      <x:c r="G516" s="2"/>
      <x:c r="H516" s="2"/>
    </x:row>
    <x:row r="517">
      <x:c r="A517" t="str">
        <x:v>26</x:v>
      </x:c>
      <x:c r="B517" t="str">
        <x:v>D01f60</x:v>
      </x:c>
      <x:c r="C517" t="str">
        <x:v>2610-1</x:v>
      </x:c>
      <x:c r="D517" t="n">
        <x:v>10</x:v>
      </x:c>
      <x:c r="E517" s="21" t="n">
        <x:v>1</x:v>
      </x:c>
      <x:c r="F517"/>
      <x:c r="G517"/>
      <x:c r="H517"/>
    </x:row>
    <x:row r="518">
      <x:c r="A518"/>
      <x:c r="B518"/>
      <x:c r="C518"/>
      <x:c r="D518"/>
      <x:c r="E518" s="21"/>
      <x:c r="F518"/>
      <x:c r="G518"/>
      <x:c r="H518"/>
    </x:row>
    <x:row r="519">
      <x:c r="A519"/>
      <x:c r="B519" t="str">
        <x:v>D01f120</x:v>
      </x:c>
      <x:c r="C519" t="str">
        <x:v>2608-1</x:v>
      </x:c>
      <x:c r="D519" t="n">
        <x:v>2</x:v>
      </x:c>
      <x:c r="E519" s="21" t="n">
        <x:v>1</x:v>
      </x:c>
      <x:c r="F519"/>
      <x:c r="G519"/>
      <x:c r="H519"/>
    </x:row>
    <x:row r="520">
      <x:c r="A520"/>
      <x:c r="B520" t="str">
        <x:v>D01f120</x:v>
      </x:c>
      <x:c r="C520" t="str">
        <x:v>2609-1</x:v>
      </x:c>
      <x:c r="D520" t="n">
        <x:v>2</x:v>
      </x:c>
      <x:c r="E520" s="21" t="n">
        <x:v>1</x:v>
      </x:c>
      <x:c r="F520"/>
      <x:c r="G520"/>
      <x:c r="H520"/>
    </x:row>
    <x:row r="521">
      <x:c r="A521"/>
      <x:c r="B521"/>
      <x:c r="C521"/>
      <x:c r="D521"/>
      <x:c r="E521" s="21"/>
      <x:c r="F521"/>
      <x:c r="G521"/>
      <x:c r="H521"/>
    </x:row>
    <x:row r="522">
      <x:c r="A522"/>
      <x:c r="B522" t="str">
        <x:v>D02f120</x:v>
      </x:c>
      <x:c r="C522" t="str">
        <x:v>2607-1</x:v>
      </x:c>
      <x:c r="D522" t="n">
        <x:v>18</x:v>
      </x:c>
      <x:c r="E522" s="21" t="n">
        <x:v>1</x:v>
      </x:c>
      <x:c r="F522"/>
      <x:c r="G522"/>
      <x:c r="H522"/>
    </x:row>
    <x:row r="523">
      <x:c r="A523"/>
      <x:c r="B523" t="str">
        <x:v>D02f120</x:v>
      </x:c>
      <x:c r="C523" t="str">
        <x:v>2607-2</x:v>
      </x:c>
      <x:c r="D523" t="n">
        <x:v>18</x:v>
      </x:c>
      <x:c r="E523" s="21" t="n">
        <x:v>1</x:v>
      </x:c>
      <x:c r="F523"/>
      <x:c r="G523"/>
      <x:c r="H523"/>
    </x:row>
    <x:row r="524">
      <x:c r="A524"/>
      <x:c r="B524" t="str">
        <x:v>D02f120</x:v>
      </x:c>
      <x:c r="C524" t="str">
        <x:v>2611-1</x:v>
      </x:c>
      <x:c r="D524" t="n">
        <x:v>18</x:v>
      </x:c>
      <x:c r="E524" s="21" t="n">
        <x:v>1</x:v>
      </x:c>
      <x:c r="F524"/>
      <x:c r="G524"/>
      <x:c r="H524"/>
    </x:row>
    <x:row r="525">
      <x:c r="A525"/>
      <x:c r="B525" t="str">
        <x:v>D02f120</x:v>
      </x:c>
      <x:c r="C525" t="str">
        <x:v>2612-1</x:v>
      </x:c>
      <x:c r="D525" t="n">
        <x:v>18</x:v>
      </x:c>
      <x:c r="E525" s="21" t="n">
        <x:v>1</x:v>
      </x:c>
      <x:c r="F525"/>
      <x:c r="G525"/>
      <x:c r="H525"/>
    </x:row>
    <x:row r="526">
      <x:c r="A526"/>
      <x:c r="B526"/>
      <x:c r="C526"/>
      <x:c r="D526"/>
      <x:c r="E526" s="21"/>
      <x:c r="F526"/>
      <x:c r="G526"/>
      <x:c r="H526"/>
    </x:row>
    <x:row r="527">
      <x:c r="A527"/>
      <x:c r="B527" t="str">
        <x:v>D06</x:v>
      </x:c>
      <x:c r="C527" t="str">
        <x:v>2601-7</x:v>
      </x:c>
      <x:c r="D527" t="n">
        <x:v>22</x:v>
      </x:c>
      <x:c r="E527" s="21" t="n">
        <x:v>1</x:v>
      </x:c>
      <x:c r="F527"/>
      <x:c r="G527"/>
      <x:c r="H527"/>
    </x:row>
    <x:row r="528">
      <x:c r="A528"/>
      <x:c r="B528" t="str">
        <x:v>D06</x:v>
      </x:c>
      <x:c r="C528" t="str">
        <x:v>2601-8</x:v>
      </x:c>
      <x:c r="D528" t="n">
        <x:v>22</x:v>
      </x:c>
      <x:c r="E528" s="21" t="n">
        <x:v>1</x:v>
      </x:c>
      <x:c r="F528"/>
      <x:c r="G528"/>
      <x:c r="H528"/>
    </x:row>
    <x:row r="529">
      <x:c r="A529"/>
      <x:c r="B529" t="str">
        <x:v>D06</x:v>
      </x:c>
      <x:c r="C529" t="str">
        <x:v>2610-2</x:v>
      </x:c>
      <x:c r="D529" t="n">
        <x:v>22</x:v>
      </x:c>
      <x:c r="E529" s="21" t="n">
        <x:v>1</x:v>
      </x:c>
      <x:c r="F529"/>
      <x:c r="G529"/>
      <x:c r="H529"/>
    </x:row>
    <x:row r="530">
      <x:c r="A530"/>
      <x:c r="B530"/>
      <x:c r="C530"/>
      <x:c r="D530"/>
      <x:c r="E530" s="21"/>
      <x:c r="F530"/>
      <x:c r="G530"/>
      <x:c r="H530"/>
    </x:row>
    <x:row r="531">
      <x:c r="A531"/>
      <x:c r="B531" t="str">
        <x:v>D09</x:v>
      </x:c>
      <x:c r="C531" t="str">
        <x:v>2601-1</x:v>
      </x:c>
      <x:c r="D531" t="n">
        <x:v>29</x:v>
      </x:c>
      <x:c r="E531" s="21" t="n">
        <x:v>1</x:v>
      </x:c>
      <x:c r="F531"/>
      <x:c r="G531"/>
      <x:c r="H531"/>
    </x:row>
    <x:row r="532">
      <x:c r="A532"/>
      <x:c r="B532" t="str">
        <x:v>D09</x:v>
      </x:c>
      <x:c r="C532" t="str">
        <x:v>2601-2</x:v>
      </x:c>
      <x:c r="D532" t="n">
        <x:v>29</x:v>
      </x:c>
      <x:c r="E532" s="21" t="n">
        <x:v>1</x:v>
      </x:c>
      <x:c r="F532"/>
      <x:c r="G532"/>
      <x:c r="H532"/>
    </x:row>
    <x:row r="533">
      <x:c r="A533"/>
      <x:c r="B533" t="str">
        <x:v>D09</x:v>
      </x:c>
      <x:c r="C533" t="str">
        <x:v>2601-3</x:v>
      </x:c>
      <x:c r="D533" t="n">
        <x:v>29</x:v>
      </x:c>
      <x:c r="E533" s="21" t="n">
        <x:v>1</x:v>
      </x:c>
      <x:c r="F533"/>
      <x:c r="G533"/>
      <x:c r="H533"/>
    </x:row>
    <x:row r="534">
      <x:c r="A534"/>
      <x:c r="B534" t="str">
        <x:v>D09</x:v>
      </x:c>
      <x:c r="C534" t="str">
        <x:v>2601-4</x:v>
      </x:c>
      <x:c r="D534" t="n">
        <x:v>29</x:v>
      </x:c>
      <x:c r="E534" s="21" t="n">
        <x:v>1</x:v>
      </x:c>
      <x:c r="F534"/>
      <x:c r="G534"/>
      <x:c r="H534"/>
    </x:row>
    <x:row r="535">
      <x:c r="A535"/>
      <x:c r="B535" t="str">
        <x:v>D09</x:v>
      </x:c>
      <x:c r="C535" t="str">
        <x:v>2601-5</x:v>
      </x:c>
      <x:c r="D535" t="n">
        <x:v>29</x:v>
      </x:c>
      <x:c r="E535" s="21" t="n">
        <x:v>1</x:v>
      </x:c>
      <x:c r="F535"/>
      <x:c r="G535"/>
      <x:c r="H535"/>
    </x:row>
    <x:row r="536">
      <x:c r="A536"/>
      <x:c r="B536" t="str">
        <x:v>D09</x:v>
      </x:c>
      <x:c r="C536" t="str">
        <x:v>2601-6</x:v>
      </x:c>
      <x:c r="D536" t="n">
        <x:v>29</x:v>
      </x:c>
      <x:c r="E536" s="21" t="n">
        <x:v>1</x:v>
      </x:c>
      <x:c r="F536"/>
      <x:c r="G536"/>
      <x:c r="H536"/>
    </x:row>
    <x:row r="537">
      <x:c r="A537" s="2"/>
      <x:c r="B537" s="2"/>
      <x:c r="C537" s="2"/>
      <x:c r="D537" s="2"/>
      <x:c r="E537" s="22"/>
      <x:c r="F537" s="2"/>
      <x:c r="G537" s="2"/>
      <x:c r="H537" s="2"/>
    </x:row>
    <x:row r="538">
      <x:c r="A538" t="str">
        <x:v>27</x:v>
      </x:c>
      <x:c r="B538" t="str">
        <x:v>D0.1</x:v>
      </x:c>
      <x:c r="C538" t="str">
        <x:v>T-2701-1</x:v>
      </x:c>
      <x:c r="D538"/>
      <x:c r="E538" s="21" t="n">
        <x:v>1</x:v>
      </x:c>
      <x:c r="F538"/>
      <x:c r="G538"/>
      <x:c r="H538"/>
    </x:row>
    <x:row r="539">
      <x:c r="A539"/>
      <x:c r="B539" t="str">
        <x:v>D0.1</x:v>
      </x:c>
      <x:c r="C539" t="str">
        <x:v>T-2701-2</x:v>
      </x:c>
      <x:c r="D539"/>
      <x:c r="E539" s="21" t="n">
        <x:v>1</x:v>
      </x:c>
      <x:c r="F539"/>
      <x:c r="G539"/>
      <x:c r="H539"/>
    </x:row>
    <x:row r="540">
      <x:c r="A540"/>
      <x:c r="B540" t="str">
        <x:v>D0.1</x:v>
      </x:c>
      <x:c r="C540" t="str">
        <x:v>T-2701-3</x:v>
      </x:c>
      <x:c r="D540"/>
      <x:c r="E540" s="21" t="n">
        <x:v>1</x:v>
      </x:c>
      <x:c r="F540"/>
      <x:c r="G540"/>
      <x:c r="H540"/>
    </x:row>
    <x:row r="541">
      <x:c r="A541"/>
      <x:c r="B541" t="str">
        <x:v>D0.1</x:v>
      </x:c>
      <x:c r="C541" t="str">
        <x:v>T-2702-1</x:v>
      </x:c>
      <x:c r="D541"/>
      <x:c r="E541" s="21" t="n">
        <x:v>1</x:v>
      </x:c>
      <x:c r="F541"/>
      <x:c r="G541"/>
      <x:c r="H541"/>
    </x:row>
    <x:row r="542">
      <x:c r="A542"/>
      <x:c r="B542" t="str">
        <x:v>D0.1</x:v>
      </x:c>
      <x:c r="C542" t="str">
        <x:v>T-2702-1</x:v>
      </x:c>
      <x:c r="D542"/>
      <x:c r="E542" s="21" t="n">
        <x:v>1</x:v>
      </x:c>
      <x:c r="F542"/>
      <x:c r="G542"/>
      <x:c r="H542"/>
    </x:row>
    <x:row r="543">
      <x:c r="A543"/>
      <x:c r="B543" t="str">
        <x:v>D0.1</x:v>
      </x:c>
      <x:c r="C543" t="str">
        <x:v>T-2702-3</x:v>
      </x:c>
      <x:c r="D543"/>
      <x:c r="E543" s="21" t="n">
        <x:v>1</x:v>
      </x:c>
      <x:c r="F543"/>
      <x:c r="G543"/>
      <x:c r="H543"/>
    </x:row>
    <x:row r="544">
      <x:c r="A544"/>
      <x:c r="B544"/>
      <x:c r="C544"/>
      <x:c r="D544"/>
      <x:c r="E544" s="21"/>
      <x:c r="F544"/>
      <x:c r="G544"/>
      <x:c r="H544"/>
    </x:row>
    <x:row r="545">
      <x:c r="A545"/>
      <x:c r="B545" t="str">
        <x:v>D01f120</x:v>
      </x:c>
      <x:c r="C545" t="str">
        <x:v>2703-1</x:v>
      </x:c>
      <x:c r="D545" t="n">
        <x:v>1</x:v>
      </x:c>
      <x:c r="E545" s="21" t="n">
        <x:v>1</x:v>
      </x:c>
      <x:c r="F545"/>
      <x:c r="G545"/>
      <x:c r="H545"/>
    </x:row>
    <x:row r="546">
      <x:c r="A546"/>
      <x:c r="B546" t="str">
        <x:v>D01f120</x:v>
      </x:c>
      <x:c r="C546" t="str">
        <x:v>2704-1</x:v>
      </x:c>
      <x:c r="D546" t="n">
        <x:v>1</x:v>
      </x:c>
      <x:c r="E546" s="21" t="n">
        <x:v>1</x:v>
      </x:c>
      <x:c r="F546"/>
      <x:c r="G546"/>
      <x:c r="H546"/>
    </x:row>
    <x:row r="547">
      <x:c r="A547"/>
      <x:c r="B547"/>
      <x:c r="C547"/>
      <x:c r="D547"/>
      <x:c r="E547" s="21"/>
      <x:c r="F547"/>
      <x:c r="G547"/>
      <x:c r="H547"/>
    </x:row>
    <x:row r="548">
      <x:c r="A548"/>
      <x:c r="B548" t="str">
        <x:v>D03Af120</x:v>
      </x:c>
      <x:c r="C548" t="str">
        <x:v>2702-2</x:v>
      </x:c>
      <x:c r="D548" t="n">
        <x:v>14</x:v>
      </x:c>
      <x:c r="E548" s="21" t="n">
        <x:v>1</x:v>
      </x:c>
      <x:c r="F548"/>
      <x:c r="G548"/>
      <x:c r="H548"/>
    </x:row>
    <x:row r="549">
      <x:c r="A549"/>
      <x:c r="B549" t="str">
        <x:v>D03Af120</x:v>
      </x:c>
      <x:c r="C549" t="str">
        <x:v>2705-1</x:v>
      </x:c>
      <x:c r="D549" t="n">
        <x:v>14</x:v>
      </x:c>
      <x:c r="E549" s="21" t="n">
        <x:v>1</x:v>
      </x:c>
      <x:c r="F549"/>
      <x:c r="G549"/>
      <x:c r="H549"/>
    </x:row>
    <x:row r="550">
      <x:c r="A550"/>
      <x:c r="B550"/>
      <x:c r="C550"/>
      <x:c r="D550"/>
      <x:c r="E550" s="21"/>
      <x:c r="F550"/>
      <x:c r="G550"/>
      <x:c r="H550"/>
    </x:row>
    <x:row r="551">
      <x:c r="A551"/>
      <x:c r="B551" t="str">
        <x:v>D04</x:v>
      </x:c>
      <x:c r="C551" t="str">
        <x:v>2710-1</x:v>
      </x:c>
      <x:c r="D551" t="n">
        <x:v>8</x:v>
      </x:c>
      <x:c r="E551" s="21" t="n">
        <x:v>1</x:v>
      </x:c>
      <x:c r="F551"/>
      <x:c r="G551"/>
      <x:c r="H551"/>
    </x:row>
    <x:row r="552">
      <x:c r="A552"/>
      <x:c r="B552"/>
      <x:c r="C552"/>
      <x:c r="D552"/>
      <x:c r="E552" s="21"/>
      <x:c r="F552"/>
      <x:c r="G552"/>
      <x:c r="H552"/>
    </x:row>
    <x:row r="553">
      <x:c r="A553"/>
      <x:c r="B553" t="str">
        <x:v>D04Af60</x:v>
      </x:c>
      <x:c r="C553" t="str">
        <x:v>2713-1</x:v>
      </x:c>
      <x:c r="D553" t="n">
        <x:v>5</x:v>
      </x:c>
      <x:c r="E553" s="21" t="n">
        <x:v>1</x:v>
      </x:c>
      <x:c r="F553"/>
      <x:c r="G553"/>
      <x:c r="H553"/>
    </x:row>
    <x:row r="554">
      <x:c r="A554"/>
      <x:c r="B554"/>
      <x:c r="C554"/>
      <x:c r="D554"/>
      <x:c r="E554" s="21"/>
      <x:c r="F554"/>
      <x:c r="G554"/>
      <x:c r="H554"/>
    </x:row>
    <x:row r="555">
      <x:c r="A555"/>
      <x:c r="B555" t="str">
        <x:v>D14</x:v>
      </x:c>
      <x:c r="C555" t="str">
        <x:v>2705-1</x:v>
      </x:c>
      <x:c r="D555" t="n">
        <x:v>21</x:v>
      </x:c>
      <x:c r="E555" s="21" t="n">
        <x:v>1</x:v>
      </x:c>
      <x:c r="F555"/>
      <x:c r="G555"/>
      <x:c r="H555"/>
    </x:row>
    <x:row r="556">
      <x:c r="A556"/>
      <x:c r="B556" t="str">
        <x:v>D14</x:v>
      </x:c>
      <x:c r="C556" t="str">
        <x:v>2705-2</x:v>
      </x:c>
      <x:c r="D556" t="n">
        <x:v>21</x:v>
      </x:c>
      <x:c r="E556" s="21" t="n">
        <x:v>1</x:v>
      </x:c>
      <x:c r="F556"/>
      <x:c r="G556"/>
      <x:c r="H556"/>
    </x:row>
    <x:row r="557">
      <x:c r="A557"/>
      <x:c r="B557" t="str">
        <x:v>D14</x:v>
      </x:c>
      <x:c r="C557" t="str">
        <x:v>2705-3</x:v>
      </x:c>
      <x:c r="D557" t="n">
        <x:v>21</x:v>
      </x:c>
      <x:c r="E557" s="21" t="n">
        <x:v>1</x:v>
      </x:c>
      <x:c r="F557"/>
      <x:c r="G557"/>
      <x:c r="H557"/>
    </x:row>
    <x:row r="558">
      <x:c r="A558" s="2"/>
      <x:c r="B558" s="2"/>
      <x:c r="C558" s="2"/>
      <x:c r="D558" s="2"/>
      <x:c r="E558" s="22"/>
      <x:c r="F558" s="2"/>
      <x:c r="G558" s="2"/>
      <x:c r="H558" s="2"/>
    </x:row>
    <x:row r="559">
      <x:c r="A559" t="str">
        <x:v>28</x:v>
      </x:c>
      <x:c r="B559" t="str">
        <x:v>D0.1</x:v>
      </x:c>
      <x:c r="C559" t="str">
        <x:v>T-2801-1</x:v>
      </x:c>
      <x:c r="D559"/>
      <x:c r="E559" s="21" t="n">
        <x:v>1</x:v>
      </x:c>
      <x:c r="F559"/>
      <x:c r="G559"/>
      <x:c r="H559"/>
    </x:row>
    <x:row r="560">
      <x:c r="A560"/>
      <x:c r="B560" t="str">
        <x:v>D0.1</x:v>
      </x:c>
      <x:c r="C560" t="str">
        <x:v>T-2803-1</x:v>
      </x:c>
      <x:c r="D560"/>
      <x:c r="E560" s="21" t="n">
        <x:v>1</x:v>
      </x:c>
      <x:c r="F560"/>
      <x:c r="G560"/>
      <x:c r="H560"/>
    </x:row>
    <x:row r="561">
      <x:c r="A561"/>
      <x:c r="B561" t="str">
        <x:v>D0.1</x:v>
      </x:c>
      <x:c r="C561" t="str">
        <x:v>T-2803-2</x:v>
      </x:c>
      <x:c r="D561"/>
      <x:c r="E561" s="21" t="n">
        <x:v>1</x:v>
      </x:c>
      <x:c r="F561"/>
      <x:c r="G561"/>
      <x:c r="H561"/>
    </x:row>
    <x:row r="562">
      <x:c r="A562"/>
      <x:c r="B562"/>
      <x:c r="C562"/>
      <x:c r="D562"/>
      <x:c r="E562" s="21"/>
      <x:c r="F562"/>
      <x:c r="G562"/>
      <x:c r="H562"/>
    </x:row>
    <x:row r="563">
      <x:c r="A563"/>
      <x:c r="B563" t="str">
        <x:v>D01f120</x:v>
      </x:c>
      <x:c r="C563" t="str">
        <x:v>2803-1</x:v>
      </x:c>
      <x:c r="D563" t="n">
        <x:v>1</x:v>
      </x:c>
      <x:c r="E563" s="21" t="n">
        <x:v>1</x:v>
      </x:c>
      <x:c r="F563"/>
      <x:c r="G563"/>
      <x:c r="H563"/>
    </x:row>
    <x:row r="564">
      <x:c r="A564"/>
      <x:c r="B564" t="str">
        <x:v>D01f120</x:v>
      </x:c>
      <x:c r="C564" t="str">
        <x:v>2805-3</x:v>
      </x:c>
      <x:c r="D564" t="n">
        <x:v>1</x:v>
      </x:c>
      <x:c r="E564" s="21" t="n">
        <x:v>1</x:v>
      </x:c>
      <x:c r="F564"/>
      <x:c r="G564"/>
      <x:c r="H564"/>
    </x:row>
    <x:row r="565">
      <x:c r="A565"/>
      <x:c r="B565"/>
      <x:c r="C565"/>
      <x:c r="D565"/>
      <x:c r="E565" s="21"/>
      <x:c r="F565"/>
      <x:c r="G565"/>
      <x:c r="H565"/>
    </x:row>
    <x:row r="566">
      <x:c r="A566"/>
      <x:c r="B566" t="str">
        <x:v>D02f120</x:v>
      </x:c>
      <x:c r="C566" t="str">
        <x:v>2802-2</x:v>
      </x:c>
      <x:c r="D566" t="n">
        <x:v>18</x:v>
      </x:c>
      <x:c r="E566" s="21" t="n">
        <x:v>1</x:v>
      </x:c>
      <x:c r="F566"/>
      <x:c r="G566"/>
      <x:c r="H566"/>
    </x:row>
    <x:row r="567">
      <x:c r="A567"/>
      <x:c r="B567"/>
      <x:c r="C567"/>
      <x:c r="D567"/>
      <x:c r="E567" s="21"/>
      <x:c r="F567"/>
      <x:c r="G567"/>
      <x:c r="H567"/>
    </x:row>
    <x:row r="568">
      <x:c r="A568"/>
      <x:c r="B568" t="str">
        <x:v>D03f120</x:v>
      </x:c>
      <x:c r="C568" t="str">
        <x:v>2802-3</x:v>
      </x:c>
      <x:c r="D568" t="n">
        <x:v>16</x:v>
      </x:c>
      <x:c r="E568" s="21" t="n">
        <x:v>1</x:v>
      </x:c>
      <x:c r="F568"/>
      <x:c r="G568"/>
      <x:c r="H568"/>
    </x:row>
    <x:row r="569">
      <x:c r="A569"/>
      <x:c r="B569"/>
      <x:c r="C569"/>
      <x:c r="D569"/>
      <x:c r="E569" s="21"/>
      <x:c r="F569"/>
      <x:c r="G569"/>
      <x:c r="H569"/>
    </x:row>
    <x:row r="570">
      <x:c r="A570"/>
      <x:c r="B570" t="str">
        <x:v>D04</x:v>
      </x:c>
      <x:c r="C570" t="str">
        <x:v>2806-1</x:v>
      </x:c>
      <x:c r="D570" t="n">
        <x:v>3</x:v>
      </x:c>
      <x:c r="E570" s="21" t="n">
        <x:v>1</x:v>
      </x:c>
      <x:c r="F570"/>
      <x:c r="G570"/>
      <x:c r="H570"/>
    </x:row>
    <x:row r="571">
      <x:c r="A571"/>
      <x:c r="B571"/>
      <x:c r="C571"/>
      <x:c r="D571"/>
      <x:c r="E571" s="21"/>
      <x:c r="F571"/>
      <x:c r="G571"/>
      <x:c r="H571"/>
    </x:row>
    <x:row r="572">
      <x:c r="A572"/>
      <x:c r="B572" t="str">
        <x:v>D04A</x:v>
      </x:c>
      <x:c r="C572" t="str">
        <x:v>2805-4</x:v>
      </x:c>
      <x:c r="D572" t="n">
        <x:v>5</x:v>
      </x:c>
      <x:c r="E572" s="21" t="n">
        <x:v>1</x:v>
      </x:c>
      <x:c r="F572"/>
      <x:c r="G572"/>
      <x:c r="H572"/>
    </x:row>
    <x:row r="573">
      <x:c r="A573"/>
      <x:c r="B573"/>
      <x:c r="C573"/>
      <x:c r="D573"/>
      <x:c r="E573" s="21"/>
      <x:c r="F573"/>
      <x:c r="G573"/>
      <x:c r="H573"/>
    </x:row>
    <x:row r="574">
      <x:c r="A574"/>
      <x:c r="B574" t="str">
        <x:v>D10</x:v>
      </x:c>
      <x:c r="C574" t="str">
        <x:v>2801-2</x:v>
      </x:c>
      <x:c r="D574" t="n">
        <x:v>24</x:v>
      </x:c>
      <x:c r="E574" s="21" t="n">
        <x:v>1</x:v>
      </x:c>
      <x:c r="F574"/>
      <x:c r="G574"/>
      <x:c r="H574"/>
    </x:row>
    <x:row r="575">
      <x:c r="A575"/>
      <x:c r="B575"/>
      <x:c r="C575"/>
      <x:c r="D575"/>
      <x:c r="E575" s="21"/>
      <x:c r="F575"/>
      <x:c r="G575"/>
      <x:c r="H575"/>
    </x:row>
    <x:row r="576">
      <x:c r="A576"/>
      <x:c r="B576" t="str">
        <x:v>D14</x:v>
      </x:c>
      <x:c r="C576" t="str">
        <x:v>2805-1</x:v>
      </x:c>
      <x:c r="D576" t="n">
        <x:v>28</x:v>
      </x:c>
      <x:c r="E576" s="21" t="n">
        <x:v>1</x:v>
      </x:c>
      <x:c r="F576"/>
      <x:c r="G576"/>
      <x:c r="H576"/>
    </x:row>
    <x:row r="577">
      <x:c r="A577"/>
      <x:c r="B577" t="str">
        <x:v>D14</x:v>
      </x:c>
      <x:c r="C577" t="str">
        <x:v>2805-2</x:v>
      </x:c>
      <x:c r="D577" t="n">
        <x:v>28</x:v>
      </x:c>
      <x:c r="E577" s="21" t="n">
        <x:v>1</x:v>
      </x:c>
      <x:c r="F577"/>
      <x:c r="G577"/>
      <x:c r="H577"/>
    </x:row>
    <x:row r="578">
      <x:c r="A578"/>
      <x:c r="B578" t="str">
        <x:v>D14</x:v>
      </x:c>
      <x:c r="C578" t="str">
        <x:v>2805-5</x:v>
      </x:c>
      <x:c r="D578" t="n">
        <x:v>28</x:v>
      </x:c>
      <x:c r="E578" s="21" t="n">
        <x:v>1</x:v>
      </x:c>
      <x:c r="F578"/>
      <x:c r="G578"/>
      <x:c r="H578"/>
    </x:row>
    <x:row r="579">
      <x:c r="A579" s="2"/>
      <x:c r="B579" s="2"/>
      <x:c r="C579" s="2"/>
      <x:c r="D579" s="2"/>
      <x:c r="E579" s="22"/>
      <x:c r="F579" s="2"/>
      <x:c r="G579" s="2"/>
      <x:c r="H579" s="2"/>
    </x:row>
    <x:row r="580">
      <x:c r="A580" t="str">
        <x:v>29</x:v>
      </x:c>
      <x:c r="B580" t="str">
        <x:v>D01f120</x:v>
      </x:c>
      <x:c r="C580" t="str">
        <x:v>2903-1</x:v>
      </x:c>
      <x:c r="D580" t="n">
        <x:v>2</x:v>
      </x:c>
      <x:c r="E580" s="21" t="n">
        <x:v>1</x:v>
      </x:c>
      <x:c r="F580"/>
      <x:c r="G580"/>
      <x:c r="H580"/>
    </x:row>
    <x:row r="581">
      <x:c r="A581"/>
      <x:c r="B581"/>
      <x:c r="C581"/>
      <x:c r="D581"/>
      <x:c r="E581" s="21"/>
      <x:c r="F581"/>
      <x:c r="G581"/>
      <x:c r="H581"/>
    </x:row>
    <x:row r="582">
      <x:c r="A582"/>
      <x:c r="B582" t="str">
        <x:v>D03Af120</x:v>
      </x:c>
      <x:c r="C582" t="str">
        <x:v>2901-1</x:v>
      </x:c>
      <x:c r="D582" t="n">
        <x:v>14</x:v>
      </x:c>
      <x:c r="E582" s="21" t="n">
        <x:v>1</x:v>
      </x:c>
      <x:c r="F582"/>
      <x:c r="G582"/>
      <x:c r="H582"/>
    </x:row>
    <x:row r="583">
      <x:c r="A583"/>
      <x:c r="B583"/>
      <x:c r="C583"/>
      <x:c r="D583"/>
      <x:c r="E583" s="21"/>
      <x:c r="F583"/>
      <x:c r="G583"/>
      <x:c r="H583"/>
    </x:row>
    <x:row r="584">
      <x:c r="A584"/>
      <x:c r="B584" t="str">
        <x:v>D08</x:v>
      </x:c>
      <x:c r="C584" t="str">
        <x:v>T-2901-1</x:v>
      </x:c>
      <x:c r="D584" t="n">
        <x:v>4</x:v>
      </x:c>
      <x:c r="E584" s="21" t="n">
        <x:v>1</x:v>
      </x:c>
      <x:c r="F584"/>
      <x:c r="G584"/>
      <x:c r="H584"/>
    </x:row>
    <x:row r="585">
      <x:c r="A585"/>
      <x:c r="B585" t="str">
        <x:v>D08</x:v>
      </x:c>
      <x:c r="C585" t="str">
        <x:v>T-2902-1</x:v>
      </x:c>
      <x:c r="D585" t="n">
        <x:v>4</x:v>
      </x:c>
      <x:c r="E585" s="21" t="n">
        <x:v>1</x:v>
      </x:c>
      <x:c r="F585"/>
      <x:c r="G585"/>
      <x:c r="H585"/>
    </x:row>
    <x:row r="586">
      <x:c r="A586" s="2"/>
      <x:c r="B586" s="2"/>
      <x:c r="C586" s="2"/>
      <x:c r="D586" s="2"/>
      <x:c r="E586" s="22"/>
      <x:c r="F586" s="2"/>
      <x:c r="G586" s="2"/>
      <x:c r="H586" s="2"/>
    </x:row>
    <x:row r="587">
      <x:c r="A587" t="str">
        <x:v>ดาดฟ้า</x:v>
      </x:c>
      <x:c r="B587" t="str">
        <x:v>D0.1</x:v>
      </x:c>
      <x:c r="C587" t="str">
        <x:v>3007-1</x:v>
      </x:c>
      <x:c r="D587"/>
      <x:c r="E587" s="21" t="n">
        <x:v>1</x:v>
      </x:c>
      <x:c r="F587"/>
      <x:c r="G587"/>
      <x:c r="H587"/>
    </x:row>
    <x:row r="588">
      <x:c r="A588"/>
      <x:c r="B588" t="str">
        <x:v>D0.1</x:v>
      </x:c>
      <x:c r="C588" t="str">
        <x:v>T-3001-1</x:v>
      </x:c>
      <x:c r="D588"/>
      <x:c r="E588" s="21" t="n">
        <x:v>1</x:v>
      </x:c>
      <x:c r="F588"/>
      <x:c r="G588"/>
      <x:c r="H588"/>
    </x:row>
    <x:row r="589">
      <x:c r="A589"/>
      <x:c r="B589" t="str">
        <x:v>D0.1</x:v>
      </x:c>
      <x:c r="C589" t="str">
        <x:v>T-3003-2</x:v>
      </x:c>
      <x:c r="D589"/>
      <x:c r="E589" s="21" t="n">
        <x:v>1</x:v>
      </x:c>
      <x:c r="F589"/>
      <x:c r="G589"/>
      <x:c r="H589"/>
    </x:row>
    <x:row r="590">
      <x:c r="A590"/>
      <x:c r="B590"/>
      <x:c r="C590"/>
      <x:c r="D590"/>
      <x:c r="E590" s="21"/>
      <x:c r="F590"/>
      <x:c r="G590"/>
      <x:c r="H590"/>
    </x:row>
    <x:row r="591">
      <x:c r="A591"/>
      <x:c r="B591" t="str">
        <x:v>D01</x:v>
      </x:c>
      <x:c r="C591" t="str">
        <x:v>3008-1</x:v>
      </x:c>
      <x:c r="D591" t="n">
        <x:v>8</x:v>
      </x:c>
      <x:c r="E591" s="21" t="n">
        <x:v>1</x:v>
      </x:c>
      <x:c r="F591"/>
      <x:c r="G591"/>
      <x:c r="H591"/>
    </x:row>
    <x:row r="592">
      <x:c r="A592"/>
      <x:c r="B592"/>
      <x:c r="C592"/>
      <x:c r="D592"/>
      <x:c r="E592" s="21"/>
      <x:c r="F592"/>
      <x:c r="G592"/>
      <x:c r="H592"/>
    </x:row>
    <x:row r="593">
      <x:c r="A593"/>
      <x:c r="B593" t="str">
        <x:v>D01f120</x:v>
      </x:c>
      <x:c r="C593" t="str">
        <x:v>3008-2</x:v>
      </x:c>
      <x:c r="D593" t="n">
        <x:v>1</x:v>
      </x:c>
      <x:c r="E593" s="21" t="n">
        <x:v>1</x:v>
      </x:c>
      <x:c r="F593"/>
      <x:c r="G593"/>
      <x:c r="H593"/>
    </x:row>
    <x:row r="594">
      <x:c r="A594"/>
      <x:c r="B594"/>
      <x:c r="C594"/>
      <x:c r="D594"/>
      <x:c r="E594" s="21"/>
      <x:c r="F594"/>
      <x:c r="G594"/>
      <x:c r="H594"/>
    </x:row>
    <x:row r="595">
      <x:c r="A595"/>
      <x:c r="B595" t="str">
        <x:v>D02f120</x:v>
      </x:c>
      <x:c r="C595" t="str">
        <x:v>3005-1</x:v>
      </x:c>
      <x:c r="D595" t="n">
        <x:v>18</x:v>
      </x:c>
      <x:c r="E595" s="21" t="n">
        <x:v>1</x:v>
      </x:c>
      <x:c r="F595"/>
      <x:c r="G595"/>
      <x:c r="H595"/>
    </x:row>
    <x:row r="596">
      <x:c r="A596"/>
      <x:c r="B596" t="str">
        <x:v>D02f120</x:v>
      </x:c>
      <x:c r="C596" t="str">
        <x:v>3006-1</x:v>
      </x:c>
      <x:c r="D596" t="n">
        <x:v>18</x:v>
      </x:c>
      <x:c r="E596" s="21" t="n">
        <x:v>1</x:v>
      </x:c>
      <x:c r="F596"/>
      <x:c r="G596"/>
      <x:c r="H596"/>
    </x:row>
    <x:row r="597">
      <x:c r="A597"/>
      <x:c r="B597"/>
      <x:c r="C597"/>
      <x:c r="D597"/>
      <x:c r="E597" s="21"/>
      <x:c r="F597"/>
      <x:c r="G597"/>
      <x:c r="H597"/>
    </x:row>
    <x:row r="598">
      <x:c r="A598"/>
      <x:c r="B598" t="str">
        <x:v>D10</x:v>
      </x:c>
      <x:c r="C598" t="str">
        <x:v>T-3002-1</x:v>
      </x:c>
      <x:c r="D598" t="n">
        <x:v>24</x:v>
      </x:c>
      <x:c r="E598" s="21" t="n">
        <x:v>1</x:v>
      </x:c>
      <x:c r="F598"/>
      <x:c r="G598"/>
      <x:c r="H598"/>
    </x:row>
    <x:row r="599">
      <x:c r="A599"/>
      <x:c r="B599"/>
      <x:c r="C599"/>
      <x:c r="D599"/>
      <x:c r="E599" s="21"/>
      <x:c r="F599"/>
      <x:c r="G599"/>
      <x:c r="H599"/>
    </x:row>
    <x:row r="600">
      <x:c r="A600"/>
      <x:c r="B600" t="str">
        <x:v>AD01</x:v>
      </x:c>
      <x:c r="C600" t="str">
        <x:v>3008-3</x:v>
      </x:c>
      <x:c r="D600" t="n">
        <x:v>30</x:v>
      </x:c>
      <x:c r="E600" s="21" t="n">
        <x:v>1</x:v>
      </x:c>
      <x:c r="F600"/>
      <x:c r="G600"/>
      <x:c r="H600"/>
    </x:row>
    <x:row r="601">
      <x:c r="A601"/>
      <x:c r="B601"/>
      <x:c r="C601"/>
      <x:c r="D601"/>
      <x:c r="E601" s="21"/>
      <x:c r="F601"/>
      <x:c r="G601"/>
      <x:c r="H601"/>
    </x:row>
    <x:row r="602">
      <x:c r="A602"/>
      <x:c r="B602" t="str">
        <x:v>AD04</x:v>
      </x:c>
      <x:c r="C602" t="str">
        <x:v>3009-1</x:v>
      </x:c>
      <x:c r="D602" t="n">
        <x:v>35</x:v>
      </x:c>
      <x:c r="E602" s="21" t="n">
        <x:v>1</x:v>
      </x:c>
      <x:c r="F602"/>
      <x:c r="G602"/>
      <x:c r="H602"/>
    </x:row>
    <x:row r="603">
      <x:c r="A603"/>
      <x:c r="B603"/>
      <x:c r="C603"/>
      <x:c r="D603"/>
      <x:c r="E603" s="21"/>
      <x:c r="F603"/>
      <x:c r="G603"/>
      <x:c r="H603"/>
    </x:row>
    <x:row r="604">
      <x:c r="A604"/>
      <x:c r="B604"/>
      <x:c r="C604" t="str">
        <x:v>3004-2</x:v>
      </x:c>
      <x:c r="D604"/>
      <x:c r="E604" s="21" t="n">
        <x:v>1</x:v>
      </x:c>
      <x:c r="F604"/>
      <x:c r="G604"/>
      <x:c r="H604"/>
    </x:row>
    <x:row r="605">
      <x:c r="A605" s="2"/>
      <x:c r="B605" s="2"/>
      <x:c r="C605" s="2"/>
      <x:c r="D605" s="2"/>
      <x:c r="E605" s="22"/>
      <x:c r="F605" s="2"/>
      <x:c r="G605" s="2"/>
      <x:c r="H60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399995803833" hidden="0" customWidth="1"/>
    <x:col min="2" max="2" width="11.329999923706055" hidden="0" customWidth="1"/>
  </x:cols>
  <x:sheetData>
    <x:row r="1" ht="24" customHeight="1">
      <x:c r="A1" s="26" t="str">
        <x:v>สรุปจำนวนบานประตู</x:v>
      </x:c>
    </x:row>
    <x:row r="3">
      <x:c r="A3" s="30" t="str">
        <x:v>ชั้น</x:v>
      </x:c>
      <x:c r="B3" s="30" t="str">
        <x:v>จำนวนบานรวม</x:v>
      </x:c>
    </x:row>
    <x:row r="4">
      <x:c r="A4" s="33" t="str">
        <x:v>B2</x:v>
      </x:c>
      <x:c r="B4" s="34" t="n">
        <x:v>19</x:v>
      </x:c>
    </x:row>
    <x:row r="5">
      <x:c r="A5" s="33" t="str">
        <x:v>B1</x:v>
      </x:c>
      <x:c r="B5" s="34" t="n">
        <x:v>29</x:v>
      </x:c>
    </x:row>
    <x:row r="6">
      <x:c r="A6" s="33" t="str">
        <x:v>G</x:v>
      </x:c>
      <x:c r="B6" s="34" t="n">
        <x:v>28</x:v>
      </x:c>
    </x:row>
    <x:row r="7">
      <x:c r="A7" s="33" t="str">
        <x:v>1</x:v>
      </x:c>
      <x:c r="B7" s="34" t="n">
        <x:v>8</x:v>
      </x:c>
    </x:row>
    <x:row r="8">
      <x:c r="A8" s="33" t="str">
        <x:v>1A</x:v>
      </x:c>
      <x:c r="B8" s="34" t="n">
        <x:v>7</x:v>
      </x:c>
    </x:row>
    <x:row r="9">
      <x:c r="A9" s="33" t="str">
        <x:v>2</x:v>
      </x:c>
      <x:c r="B9" s="34" t="n">
        <x:v>9</x:v>
      </x:c>
    </x:row>
    <x:row r="10">
      <x:c r="A10" s="33" t="str">
        <x:v>2A</x:v>
      </x:c>
      <x:c r="B10" s="34" t="n">
        <x:v>8</x:v>
      </x:c>
    </x:row>
    <x:row r="11">
      <x:c r="A11" s="33" t="str">
        <x:v>2B</x:v>
      </x:c>
      <x:c r="B11" s="34" t="n">
        <x:v>6</x:v>
      </x:c>
    </x:row>
    <x:row r="12">
      <x:c r="A12" s="33" t="str">
        <x:v>3</x:v>
      </x:c>
      <x:c r="B12" s="34" t="n">
        <x:v>5</x:v>
      </x:c>
    </x:row>
    <x:row r="13">
      <x:c r="A13" s="33" t="str">
        <x:v>3A</x:v>
      </x:c>
      <x:c r="B13" s="34" t="n">
        <x:v>6</x:v>
      </x:c>
    </x:row>
    <x:row r="14">
      <x:c r="A14" s="33" t="str">
        <x:v>4</x:v>
      </x:c>
      <x:c r="B14" s="34" t="n">
        <x:v>5</x:v>
      </x:c>
    </x:row>
    <x:row r="15">
      <x:c r="A15" s="33" t="str">
        <x:v>4A</x:v>
      </x:c>
      <x:c r="B15" s="34" t="n">
        <x:v>5</x:v>
      </x:c>
    </x:row>
    <x:row r="16">
      <x:c r="A16" s="33" t="str">
        <x:v>5</x:v>
      </x:c>
      <x:c r="B16" s="34" t="n">
        <x:v>7</x:v>
      </x:c>
    </x:row>
    <x:row r="17">
      <x:c r="A17" s="33" t="str">
        <x:v>6</x:v>
      </x:c>
      <x:c r="B17" s="34" t="n">
        <x:v>30</x:v>
      </x:c>
    </x:row>
    <x:row r="18">
      <x:c r="A18" s="33" t="str">
        <x:v>6A</x:v>
      </x:c>
      <x:c r="B18" s="34" t="n">
        <x:v>33</x:v>
      </x:c>
    </x:row>
    <x:row r="19">
      <x:c r="A19" s="33" t="str">
        <x:v>7</x:v>
      </x:c>
      <x:c r="B19" s="34" t="n">
        <x:v>33</x:v>
      </x:c>
    </x:row>
    <x:row r="20">
      <x:c r="A20" s="33" t="str">
        <x:v>8</x:v>
      </x:c>
      <x:c r="B20" s="34" t="n">
        <x:v>40</x:v>
      </x:c>
    </x:row>
    <x:row r="21">
      <x:c r="A21" s="33" t="str">
        <x:v>9</x:v>
      </x:c>
      <x:c r="B21" s="34" t="n">
        <x:v>37</x:v>
      </x:c>
    </x:row>
    <x:row r="22">
      <x:c r="A22" s="33" t="str">
        <x:v>24</x:v>
      </x:c>
      <x:c r="B22" s="34" t="n">
        <x:v>24</x:v>
      </x:c>
    </x:row>
    <x:row r="23">
      <x:c r="A23" s="33" t="str">
        <x:v>25</x:v>
      </x:c>
      <x:c r="B23" s="34" t="n">
        <x:v>38</x:v>
      </x:c>
    </x:row>
    <x:row r="24">
      <x:c r="A24" s="33" t="str">
        <x:v>26</x:v>
      </x:c>
      <x:c r="B24" s="34" t="n">
        <x:v>16</x:v>
      </x:c>
    </x:row>
    <x:row r="25">
      <x:c r="A25" s="33" t="str">
        <x:v>27</x:v>
      </x:c>
      <x:c r="B25" s="34" t="n">
        <x:v>15</x:v>
      </x:c>
    </x:row>
    <x:row r="26">
      <x:c r="A26" s="33" t="str">
        <x:v>28</x:v>
      </x:c>
      <x:c r="B26" s="34" t="n">
        <x:v>13</x:v>
      </x:c>
    </x:row>
    <x:row r="27">
      <x:c r="A27" s="33" t="str">
        <x:v>29</x:v>
      </x:c>
      <x:c r="B27" s="34" t="n">
        <x:v>4</x:v>
      </x:c>
    </x:row>
    <x:row r="28">
      <x:c r="A28" s="33" t="str">
        <x:v>ดาดฟ้า</x:v>
      </x:c>
      <x:c r="B28" s="34" t="n">
        <x:v>11</x:v>
      </x:c>
    </x:row>
    <x:row r="29">
      <x:c r="A29" s="33" t="str">
        <x:v>รวมทั้งหมด</x:v>
      </x:c>
      <x:c r="B29" s="34" t="n">
        <x:v>436</x:v>
      </x:c>
    </x:row>
  </x:sheetData>
  <x:mergeCells>
    <x:mergeCell ref="A1:B1"/>
  </x:mergeCells>
  <x:pageMargins left="0.7" right="0.7" top="0.75" bottom="0.75" header="0.3" footer="0.3"/>
</x:worksheet>
</file>